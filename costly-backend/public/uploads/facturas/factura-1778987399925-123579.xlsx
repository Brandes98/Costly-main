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as" sheetId="1" state="visible" r:id="rId3"/>
    <sheet name="Doctores" sheetId="2" state="visible" r:id="rId4"/>
    <sheet name="Leyend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<sst xmlns="http://schemas.openxmlformats.org/spreadsheetml/2006/main" count="122" uniqueCount="96">
  <si>
    <t xml:space="preserve">⬜  CLÍNICA · CONTROL DE CITAS MÉDICAS</t>
  </si>
  <si>
    <t xml:space="preserve">📅 HOY</t>
  </si>
  <si>
    <t xml:space="preserve">✔ ATEND.</t>
  </si>
  <si>
    <t xml:space="preserve">— PASADO</t>
  </si>
  <si>
    <t xml:space="preserve">✘ NO ASIST</t>
  </si>
  <si>
    <t xml:space="preserve">◷ PEND.</t>
  </si>
  <si>
    <t xml:space="preserve">👥 TOTAL</t>
  </si>
  <si>
    <t xml:space="preserve">#</t>
  </si>
  <si>
    <t xml:space="preserve">PACIENTE</t>
  </si>
  <si>
    <t xml:space="preserve">DOCTOR</t>
  </si>
  <si>
    <t xml:space="preserve">ESPECIALIDAD</t>
  </si>
  <si>
    <t xml:space="preserve">FECHA</t>
  </si>
  <si>
    <t xml:space="preserve">HORA</t>
  </si>
  <si>
    <t xml:space="preserve">ESTADO AUTO</t>
  </si>
  <si>
    <t xml:space="preserve">ESTADO MANUAL</t>
  </si>
  <si>
    <t xml:space="preserve">MOTIVO</t>
  </si>
  <si>
    <t xml:space="preserve">TELÉFONO</t>
  </si>
  <si>
    <t xml:space="preserve">NOTAS</t>
  </si>
  <si>
    <t xml:space="preserve">María González</t>
  </si>
  <si>
    <t xml:space="preserve">Dr. Carlos Rodríguez</t>
  </si>
  <si>
    <t xml:space="preserve">Cardiología</t>
  </si>
  <si>
    <t xml:space="preserve">09:00</t>
  </si>
  <si>
    <t xml:space="preserve">✔ Atendido</t>
  </si>
  <si>
    <t xml:space="preserve">Control mensual</t>
  </si>
  <si>
    <t xml:space="preserve">8888-1111</t>
  </si>
  <si>
    <t xml:space="preserve">Traer exámenes de sangre</t>
  </si>
  <si>
    <t xml:space="preserve">Juan Pérez</t>
  </si>
  <si>
    <t xml:space="preserve">Dra. Ana Jiménez</t>
  </si>
  <si>
    <t xml:space="preserve">Pediatría</t>
  </si>
  <si>
    <t xml:space="preserve">10:30</t>
  </si>
  <si>
    <t xml:space="preserve">✘ No asistió</t>
  </si>
  <si>
    <t xml:space="preserve">Vacunas 12 meses</t>
  </si>
  <si>
    <t xml:space="preserve">7777-2222</t>
  </si>
  <si>
    <t xml:space="preserve">Llevar carné de vacunas</t>
  </si>
  <si>
    <t xml:space="preserve">Laura Mora</t>
  </si>
  <si>
    <t xml:space="preserve">08:00</t>
  </si>
  <si>
    <t xml:space="preserve">Ecocardiograma</t>
  </si>
  <si>
    <t xml:space="preserve">6666-3333</t>
  </si>
  <si>
    <t xml:space="preserve">En ayunas requerido</t>
  </si>
  <si>
    <t xml:space="preserve">Roberto Salas</t>
  </si>
  <si>
    <t xml:space="preserve">Dr. Esteban Vargas</t>
  </si>
  <si>
    <t xml:space="preserve">Ortopedia</t>
  </si>
  <si>
    <t xml:space="preserve">14:00</t>
  </si>
  <si>
    <t xml:space="preserve">Revisión post-op</t>
  </si>
  <si>
    <t xml:space="preserve">5555-4444</t>
  </si>
  <si>
    <t xml:space="preserve">Traer radiografías</t>
  </si>
  <si>
    <t xml:space="preserve">Sofía Castro</t>
  </si>
  <si>
    <t xml:space="preserve">11:00</t>
  </si>
  <si>
    <t xml:space="preserve">Gripe persistente</t>
  </si>
  <si>
    <t xml:space="preserve">4444-5555</t>
  </si>
  <si>
    <t xml:space="preserve">Tiene alergia penicilina</t>
  </si>
  <si>
    <t xml:space="preserve">Diego Fernández</t>
  </si>
  <si>
    <t xml:space="preserve">Dra. Lucía Herrera</t>
  </si>
  <si>
    <t xml:space="preserve">Dermatología</t>
  </si>
  <si>
    <t xml:space="preserve">15:30</t>
  </si>
  <si>
    <t xml:space="preserve">Revisión lunares</t>
  </si>
  <si>
    <t xml:space="preserve">3333-6666</t>
  </si>
  <si>
    <t xml:space="preserve">Foto comparativa</t>
  </si>
  <si>
    <t xml:space="preserve">Andrea López</t>
  </si>
  <si>
    <t xml:space="preserve">Dolor lumbar crónico</t>
  </si>
  <si>
    <t xml:space="preserve">2222-7777</t>
  </si>
  <si>
    <t xml:space="preserve">Rx columna</t>
  </si>
  <si>
    <t xml:space="preserve">Carlos Núñez</t>
  </si>
  <si>
    <t xml:space="preserve">16:00</t>
  </si>
  <si>
    <t xml:space="preserve">Acné severo</t>
  </si>
  <si>
    <t xml:space="preserve">1111-8888</t>
  </si>
  <si>
    <t xml:space="preserve">Foto previa</t>
  </si>
  <si>
    <t xml:space="preserve">🩺  DIRECTORIO DE MÉDICOS</t>
  </si>
  <si>
    <t xml:space="preserve">Equipo médico registrado en el sistema</t>
  </si>
  <si>
    <t xml:space="preserve">NOMBRE</t>
  </si>
  <si>
    <t xml:space="preserve">COLEGIO</t>
  </si>
  <si>
    <t xml:space="preserve">CORREO</t>
  </si>
  <si>
    <t xml:space="preserve">ACTIVO</t>
  </si>
  <si>
    <t xml:space="preserve">A-12345</t>
  </si>
  <si>
    <t xml:space="preserve">2222-1111</t>
  </si>
  <si>
    <t xml:space="preserve">c.rodriguez@clinica.com</t>
  </si>
  <si>
    <t xml:space="preserve">Sí</t>
  </si>
  <si>
    <t xml:space="preserve">A-23456</t>
  </si>
  <si>
    <t xml:space="preserve">2222-2222</t>
  </si>
  <si>
    <t xml:space="preserve">a.jimenez@clinica.com</t>
  </si>
  <si>
    <t xml:space="preserve">A-34567</t>
  </si>
  <si>
    <t xml:space="preserve">2222-3333</t>
  </si>
  <si>
    <t xml:space="preserve">e.vargas@clinica.com</t>
  </si>
  <si>
    <t xml:space="preserve">A-45678</t>
  </si>
  <si>
    <t xml:space="preserve">2222-4444</t>
  </si>
  <si>
    <t xml:space="preserve">l.herrera@clinica.com</t>
  </si>
  <si>
    <t xml:space="preserve">📖  GUÍA DE USO</t>
  </si>
  <si>
    <t xml:space="preserve">La cita fue completada exitosamente. Se aplica de forma manual desde el menú de Estado Manual, o se marca automáticamente si así se elige.</t>
  </si>
  <si>
    <t xml:space="preserve">— Se pasó</t>
  </si>
  <si>
    <t xml:space="preserve">La fecha de la cita ya pasó y no se registró ningún resultado manual. El sistema la marca automáticamente en naranja/ámbar.</t>
  </si>
  <si>
    <t xml:space="preserve">El paciente no se presentó a la cita. Se debe marcar manualmente en la columna 'Estado Manual'.</t>
  </si>
  <si>
    <t xml:space="preserve">◷ Pendiente</t>
  </si>
  <si>
    <t xml:space="preserve">La cita aún no ha ocurrido. Fecha en el futuro. No requiere acción hasta el día de la cita.</t>
  </si>
  <si>
    <t xml:space="preserve">◷ Pendiente (hoy)</t>
  </si>
  <si>
    <t xml:space="preserve">La cita es HOY. El sistema la resalta automáticamente para mayor visibilidad.</t>
  </si>
  <si>
    <t xml:space="preserve">💡  CÓMO USAR: En la columna 'Estado Manual' podés elegir el resultado real de la cita. La columna 'Estado Auto' lo refleja automáticamente con color.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</si>
</sst>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58A6FF"/>
      <name val="Calibri"/>
      <family val="0"/>
      <charset val="1"/>
    </font>
    <font>
      <i val="true"/>
      <sz val="10"/>
      <color rgb="FF8B949E"/>
      <name val="Calibri"/>
      <family val="0"/>
      <charset val="1"/>
    </font>
    <font>
      <b val="true"/>
      <sz val="8"/>
      <color rgb="FF8B949E"/>
      <name val="Calibri"/>
      <family val="0"/>
      <charset val="1"/>
    </font>
    <font>
      <b val="true"/>
      <sz val="22"/>
      <color rgb="FF58A6FF"/>
      <name val="Calibri"/>
      <family val="0"/>
      <charset val="1"/>
    </font>
    <font>
      <b val="true"/>
      <sz val="22"/>
      <color rgb="FF3FB950"/>
      <name val="Calibri"/>
      <family val="0"/>
      <charset val="1"/>
    </font>
    <font>
      <b val="true"/>
      <sz val="22"/>
      <color rgb="FFD29922"/>
      <name val="Calibri"/>
      <family val="0"/>
      <charset val="1"/>
    </font>
    <font>
      <b val="true"/>
      <sz val="22"/>
      <color rgb="FFF78166"/>
      <name val="Calibri"/>
      <family val="0"/>
      <charset val="1"/>
    </font>
    <font>
      <b val="true"/>
      <sz val="22"/>
      <color rgb="FFBC8CFF"/>
      <name val="Calibri"/>
      <family val="0"/>
      <charset val="1"/>
    </font>
    <font>
      <b val="true"/>
      <sz val="22"/>
      <color rgb="FF8B949E"/>
      <name val="Calibri"/>
      <family val="0"/>
      <charset val="1"/>
    </font>
    <font>
      <sz val="9"/>
      <color rgb="FF8B949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58A6FF"/>
      <name val="Calibri"/>
      <family val="0"/>
      <charset val="1"/>
    </font>
    <font>
      <sz val="10"/>
      <color rgb="FFFFFFFF"/>
      <name val="Calibri"/>
      <family val="0"/>
      <charset val="1"/>
    </font>
    <font>
      <sz val="10"/>
      <color rgb="FF8B949E"/>
      <name val="Calibri"/>
      <family val="0"/>
      <charset val="1"/>
    </font>
    <font>
      <b val="true"/>
      <sz val="20"/>
      <color rgb="FFBC8CFF"/>
      <name val="Calibri"/>
      <family val="0"/>
      <charset val="1"/>
    </font>
    <font>
      <b val="true"/>
      <sz val="20"/>
      <color rgb="FF3FB950"/>
      <name val="Calibri"/>
      <family val="0"/>
      <charset val="1"/>
    </font>
    <font>
      <b val="true"/>
      <sz val="14"/>
      <color rgb="FF3FB950"/>
      <name val="Calibri"/>
      <family val="0"/>
      <charset val="1"/>
    </font>
    <font>
      <b val="true"/>
      <sz val="14"/>
      <color rgb="FFE3B341"/>
      <name val="Calibri"/>
      <family val="0"/>
      <charset val="1"/>
    </font>
    <font>
      <b val="true"/>
      <sz val="14"/>
      <color rgb="FFF85149"/>
      <name val="Calibri"/>
      <family val="0"/>
      <charset val="1"/>
    </font>
    <font>
      <b val="true"/>
      <sz val="14"/>
      <color rgb="FF58A6FF"/>
      <name val="Calibri"/>
      <family val="0"/>
      <charset val="1"/>
    </font>
    <font>
      <b val="true"/>
      <sz val="14"/>
      <color rgb="FF79C0FF"/>
      <name val="Calibri"/>
      <family val="0"/>
      <charset val="1"/>
    </font>
    <font>
      <b val="true"/>
      <sz val="10"/>
      <color rgb="FF58A6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117"/>
        <bgColor rgb="FF0D1926"/>
      </patternFill>
    </fill>
    <fill>
      <patternFill patternType="solid">
        <fgColor rgb="FF161B22"/>
        <bgColor rgb="FF0D1926"/>
      </patternFill>
    </fill>
    <fill>
      <patternFill patternType="solid">
        <fgColor rgb="FF1C2128"/>
        <bgColor rgb="FF162320"/>
      </patternFill>
    </fill>
    <fill>
      <patternFill patternType="solid">
        <fgColor rgb="FF21262D"/>
        <bgColor rgb="FF1C2128"/>
      </patternFill>
    </fill>
    <fill>
      <patternFill patternType="solid">
        <fgColor rgb="FF238636"/>
        <bgColor rgb="FF008000"/>
      </patternFill>
    </fill>
    <fill>
      <patternFill patternType="solid">
        <fgColor rgb="FFB08800"/>
        <bgColor rgb="FF9E6A03"/>
      </patternFill>
    </fill>
    <fill>
      <patternFill patternType="solid">
        <fgColor rgb="FFDA3633"/>
        <bgColor rgb="FFF85149"/>
      </patternFill>
    </fill>
    <fill>
      <patternFill patternType="solid">
        <fgColor rgb="FF1F6FEB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58A6FF"/>
      </bottom>
      <diagonal/>
    </border>
    <border diagonalUp="false" diagonalDown="false">
      <left/>
      <right/>
      <top/>
      <bottom style="thin">
        <color rgb="FFBC8C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color rgb="FF3FB950"/>
        <sz val="10"/>
      </font>
      <fill>
        <patternFill>
          <bgColor rgb="FF162320"/>
        </patternFill>
      </fill>
    </dxf>
    <dxf>
      <font>
        <name val="Calibri"/>
        <charset val="1"/>
        <family val="0"/>
        <color rgb="FFF85149"/>
        <sz val="10"/>
      </font>
      <fill>
        <patternFill>
          <bgColor rgb="FF2D1117"/>
        </patternFill>
      </fill>
    </dxf>
    <dxf>
      <font>
        <name val="Calibri"/>
        <charset val="1"/>
        <family val="0"/>
        <color rgb="FFE3B341"/>
        <sz val="10"/>
      </font>
      <fill>
        <patternFill>
          <bgColor rgb="FF211D0E"/>
        </patternFill>
      </fill>
    </dxf>
    <dxf>
      <font>
        <name val="Calibri"/>
        <charset val="1"/>
        <family val="0"/>
        <color rgb="FF58A6FF"/>
        <sz val="10"/>
      </font>
      <fill>
        <patternFill>
          <bgColor rgb="FF0D1926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238636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DA3633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9E6A03"/>
        </patternFill>
      </fill>
    </dxf>
    <dxf>
      <font>
        <name val="Calibri"/>
        <charset val="1"/>
        <family val="0"/>
        <b val="1"/>
        <color rgb="FFFFFFFF"/>
        <sz val="10"/>
      </font>
      <fill>
        <patternFill>
          <bgColor rgb="FF1F6F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926"/>
      <rgbColor rgb="FF9E6A03"/>
      <rgbColor rgb="FF800080"/>
      <rgbColor rgb="FF008080"/>
      <rgbColor rgb="FFC0C0C0"/>
      <rgbColor rgb="FFB08800"/>
      <rgbColor rgb="FF58A6FF"/>
      <rgbColor rgb="FFDA3633"/>
      <rgbColor rgb="FFFFFFCC"/>
      <rgbColor rgb="FFCCFFFF"/>
      <rgbColor rgb="FF2D1117"/>
      <rgbColor rgb="FFF78166"/>
      <rgbColor rgb="FF0066CC"/>
      <rgbColor rgb="FFCCCCFF"/>
      <rgbColor rgb="FF0D1117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9C0FF"/>
      <rgbColor rgb="FFFF99CC"/>
      <rgbColor rgb="FFBC8CFF"/>
      <rgbColor rgb="FFFFCC99"/>
      <rgbColor rgb="FF1F6FEB"/>
      <rgbColor rgb="FF3FB950"/>
      <rgbColor rgb="FF99CC00"/>
      <rgbColor rgb="FFE3B341"/>
      <rgbColor rgb="FFD29922"/>
      <rgbColor rgb="FFF85149"/>
      <rgbColor rgb="FF666699"/>
      <rgbColor rgb="FF8B949E"/>
      <rgbColor rgb="FF1C2128"/>
      <rgbColor rgb="FF238636"/>
      <rgbColor rgb="FF162320"/>
      <rgbColor rgb="FF211D0E"/>
      <rgbColor rgb="FF993300"/>
      <rgbColor rgb="FF993366"/>
      <rgbColor rgb="FF161B22"/>
      <rgbColor rgb="FF2126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8A6FF"/>
    <pageSetUpPr fitToPage="false"/>
  </sheetPr>
  <dimension ref="A1:M200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2.5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51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1.75" hidden="false" customHeight="true" outlineLevel="0" collapsed="false">
      <c r="A3" s="1"/>
      <c r="B3" s="3" t="str">
        <f aca="true">TEXT(TODAY(),"DDDD DD/MM/YYYY")&amp;"    ·    Sistema de seguimiento de pacientes"</f>
        <v>Thursday 14/05/2026    ·    Sistema de seguimiento de pacientes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3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21.75" hidden="false" customHeight="true" outlineLevel="0" collapsed="false">
      <c r="A5" s="4"/>
      <c r="B5" s="5" t="s">
        <v>1</v>
      </c>
      <c r="C5" s="5"/>
      <c r="D5" s="5" t="s">
        <v>2</v>
      </c>
      <c r="E5" s="5"/>
      <c r="F5" s="5" t="s">
        <v>3</v>
      </c>
      <c r="G5" s="5"/>
      <c r="H5" s="5" t="s">
        <v>4</v>
      </c>
      <c r="I5" s="5"/>
      <c r="J5" s="5" t="s">
        <v>5</v>
      </c>
      <c r="K5" s="5"/>
      <c r="L5" s="5" t="s">
        <v>6</v>
      </c>
      <c r="M5" s="5"/>
    </row>
    <row r="6" customFormat="false" ht="33.75" hidden="false" customHeight="true" outlineLevel="0" collapsed="false">
      <c r="A6" s="4"/>
      <c r="B6" s="6" t="n">
        <f aca="true">COUNTIF(F10:F300,TODAY())</f>
        <v>1</v>
      </c>
      <c r="C6" s="4"/>
      <c r="D6" s="7" t="n">
        <f aca="false">COUNTIF(H10:H300,"✔ Atendido")</f>
        <v>2</v>
      </c>
      <c r="E6" s="4"/>
      <c r="F6" s="8" t="n">
        <f aca="false">COUNTIF(H10:H300,"— Se pasó")</f>
        <v>0</v>
      </c>
      <c r="G6" s="4"/>
      <c r="H6" s="9" t="n">
        <f aca="false">COUNTIF(H10:H300,"✘ No asistió")</f>
        <v>1</v>
      </c>
      <c r="I6" s="4"/>
      <c r="J6" s="10" t="n">
        <f aca="false">COUNTIF(H10:H300,"◷ Pendiente")</f>
        <v>4</v>
      </c>
      <c r="K6" s="4"/>
      <c r="L6" s="11" t="n">
        <f aca="false">COUNTA(C10:C300)</f>
        <v>8</v>
      </c>
      <c r="M6" s="4"/>
    </row>
    <row r="7" customFormat="false" ht="9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31.5" hidden="false" customHeight="true" outlineLevel="0" collapsed="false">
      <c r="A8" s="4"/>
      <c r="B8" s="12" t="s">
        <v>7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4"/>
    </row>
    <row r="9" customFormat="false" ht="1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25.5" hidden="false" customHeight="true" outlineLevel="0" collapsed="false">
      <c r="A10" s="13"/>
      <c r="B10" s="14" t="n">
        <v>1</v>
      </c>
      <c r="C10" s="15" t="s">
        <v>18</v>
      </c>
      <c r="D10" s="16" t="s">
        <v>19</v>
      </c>
      <c r="E10" s="17" t="s">
        <v>20</v>
      </c>
      <c r="F10" s="18" t="n">
        <v>46153</v>
      </c>
      <c r="G10" s="19" t="s">
        <v>21</v>
      </c>
      <c r="H10" s="20" t="str">
        <f aca="true">IF(I10&lt;&gt;"",I10,IF(F10&lt;TODAY(),"— Se pasó",IF(F10=TODAY(),"◷ Pendiente (hoy)","◷ Pendiente")))</f>
        <v>✔ Atendido</v>
      </c>
      <c r="I10" s="19" t="s">
        <v>22</v>
      </c>
      <c r="J10" s="17" t="s">
        <v>23</v>
      </c>
      <c r="K10" s="14" t="s">
        <v>24</v>
      </c>
      <c r="L10" s="21" t="s">
        <v>25</v>
      </c>
      <c r="M10" s="13"/>
    </row>
    <row r="11" customFormat="false" ht="25.5" hidden="false" customHeight="true" outlineLevel="0" collapsed="false">
      <c r="A11" s="22"/>
      <c r="B11" s="23" t="n">
        <v>2</v>
      </c>
      <c r="C11" s="24" t="s">
        <v>26</v>
      </c>
      <c r="D11" s="25" t="s">
        <v>27</v>
      </c>
      <c r="E11" s="26" t="s">
        <v>28</v>
      </c>
      <c r="F11" s="27" t="n">
        <v>46155</v>
      </c>
      <c r="G11" s="28" t="s">
        <v>29</v>
      </c>
      <c r="H11" s="29" t="str">
        <f aca="true">IF(I11&lt;&gt;"",I11,IF(F11&lt;TODAY(),"— Se pasó",IF(F11=TODAY(),"◷ Pendiente (hoy)","◷ Pendiente")))</f>
        <v>✘ No asistió</v>
      </c>
      <c r="I11" s="28" t="s">
        <v>30</v>
      </c>
      <c r="J11" s="26" t="s">
        <v>31</v>
      </c>
      <c r="K11" s="23" t="s">
        <v>32</v>
      </c>
      <c r="L11" s="30" t="s">
        <v>33</v>
      </c>
      <c r="M11" s="22"/>
    </row>
    <row r="12" customFormat="false" ht="25.5" hidden="false" customHeight="true" outlineLevel="0" collapsed="false">
      <c r="A12" s="13"/>
      <c r="B12" s="14" t="n">
        <v>3</v>
      </c>
      <c r="C12" s="15" t="s">
        <v>34</v>
      </c>
      <c r="D12" s="16" t="s">
        <v>19</v>
      </c>
      <c r="E12" s="17" t="s">
        <v>20</v>
      </c>
      <c r="F12" s="18" t="n">
        <v>46151</v>
      </c>
      <c r="G12" s="19" t="s">
        <v>35</v>
      </c>
      <c r="H12" s="20" t="str">
        <f aca="true">IF(I12&lt;&gt;"",I12,IF(F12&lt;TODAY(),"— Se pasó",IF(F12=TODAY(),"◷ Pendiente (hoy)","◷ Pendiente")))</f>
        <v>✔ Atendido</v>
      </c>
      <c r="I12" s="19" t="s">
        <v>22</v>
      </c>
      <c r="J12" s="17" t="s">
        <v>36</v>
      </c>
      <c r="K12" s="14" t="s">
        <v>37</v>
      </c>
      <c r="L12" s="21" t="s">
        <v>38</v>
      </c>
      <c r="M12" s="13"/>
    </row>
    <row r="13" customFormat="false" ht="25.5" hidden="false" customHeight="true" outlineLevel="0" collapsed="false">
      <c r="A13" s="22"/>
      <c r="B13" s="23" t="n">
        <v>4</v>
      </c>
      <c r="C13" s="24" t="s">
        <v>39</v>
      </c>
      <c r="D13" s="25" t="s">
        <v>40</v>
      </c>
      <c r="E13" s="26" t="s">
        <v>41</v>
      </c>
      <c r="F13" s="27" t="n">
        <v>46156</v>
      </c>
      <c r="G13" s="28" t="s">
        <v>42</v>
      </c>
      <c r="H13" s="29" t="str">
        <f aca="true">IF(I13&lt;&gt;"",I13,IF(F13&lt;TODAY(),"— Se pasó",IF(F13=TODAY(),"◷ Pendiente (hoy)","◷ Pendiente")))</f>
        <v>◷ Pendiente (hoy)</v>
      </c>
      <c r="I13" s="28"/>
      <c r="J13" s="26" t="s">
        <v>43</v>
      </c>
      <c r="K13" s="23" t="s">
        <v>44</v>
      </c>
      <c r="L13" s="30" t="s">
        <v>45</v>
      </c>
      <c r="M13" s="22"/>
    </row>
    <row r="14" customFormat="false" ht="25.5" hidden="false" customHeight="true" outlineLevel="0" collapsed="false">
      <c r="A14" s="13"/>
      <c r="B14" s="14" t="n">
        <v>5</v>
      </c>
      <c r="C14" s="15" t="s">
        <v>46</v>
      </c>
      <c r="D14" s="16" t="s">
        <v>27</v>
      </c>
      <c r="E14" s="17" t="s">
        <v>28</v>
      </c>
      <c r="F14" s="18" t="n">
        <v>46157</v>
      </c>
      <c r="G14" s="19" t="s">
        <v>47</v>
      </c>
      <c r="H14" s="20" t="str">
        <f aca="true">IF(I14&lt;&gt;"",I14,IF(F14&lt;TODAY(),"— Se pasó",IF(F14=TODAY(),"◷ Pendiente (hoy)","◷ Pendiente")))</f>
        <v>◷ Pendiente</v>
      </c>
      <c r="I14" s="19"/>
      <c r="J14" s="17" t="s">
        <v>48</v>
      </c>
      <c r="K14" s="14" t="s">
        <v>49</v>
      </c>
      <c r="L14" s="21" t="s">
        <v>50</v>
      </c>
      <c r="M14" s="13"/>
    </row>
    <row r="15" customFormat="false" ht="25.5" hidden="false" customHeight="true" outlineLevel="0" collapsed="false">
      <c r="A15" s="22"/>
      <c r="B15" s="23" t="n">
        <v>6</v>
      </c>
      <c r="C15" s="24" t="s">
        <v>51</v>
      </c>
      <c r="D15" s="25" t="s">
        <v>52</v>
      </c>
      <c r="E15" s="26" t="s">
        <v>53</v>
      </c>
      <c r="F15" s="27" t="n">
        <v>46158</v>
      </c>
      <c r="G15" s="28" t="s">
        <v>54</v>
      </c>
      <c r="H15" s="29" t="str">
        <f aca="true">IF(I15&lt;&gt;"",I15,IF(F15&lt;TODAY(),"— Se pasó",IF(F15=TODAY(),"◷ Pendiente (hoy)","◷ Pendiente")))</f>
        <v>◷ Pendiente</v>
      </c>
      <c r="I15" s="28"/>
      <c r="J15" s="26" t="s">
        <v>55</v>
      </c>
      <c r="K15" s="23" t="s">
        <v>56</v>
      </c>
      <c r="L15" s="30" t="s">
        <v>57</v>
      </c>
      <c r="M15" s="22"/>
    </row>
    <row r="16" customFormat="false" ht="25.5" hidden="false" customHeight="true" outlineLevel="0" collapsed="false">
      <c r="A16" s="13"/>
      <c r="B16" s="14" t="n">
        <v>7</v>
      </c>
      <c r="C16" s="15" t="s">
        <v>58</v>
      </c>
      <c r="D16" s="16" t="s">
        <v>40</v>
      </c>
      <c r="E16" s="17" t="s">
        <v>41</v>
      </c>
      <c r="F16" s="18" t="n">
        <v>46160</v>
      </c>
      <c r="G16" s="19" t="s">
        <v>21</v>
      </c>
      <c r="H16" s="20" t="str">
        <f aca="true">IF(I16&lt;&gt;"",I16,IF(F16&lt;TODAY(),"— Se pasó",IF(F16=TODAY(),"◷ Pendiente (hoy)","◷ Pendiente")))</f>
        <v>◷ Pendiente</v>
      </c>
      <c r="I16" s="19"/>
      <c r="J16" s="17" t="s">
        <v>59</v>
      </c>
      <c r="K16" s="14" t="s">
        <v>60</v>
      </c>
      <c r="L16" s="21" t="s">
        <v>61</v>
      </c>
      <c r="M16" s="13"/>
    </row>
    <row r="17" customFormat="false" ht="25.5" hidden="false" customHeight="true" outlineLevel="0" collapsed="false">
      <c r="A17" s="22"/>
      <c r="B17" s="23" t="n">
        <v>8</v>
      </c>
      <c r="C17" s="24" t="s">
        <v>62</v>
      </c>
      <c r="D17" s="25" t="s">
        <v>52</v>
      </c>
      <c r="E17" s="26" t="s">
        <v>53</v>
      </c>
      <c r="F17" s="27" t="n">
        <v>46162</v>
      </c>
      <c r="G17" s="28" t="s">
        <v>63</v>
      </c>
      <c r="H17" s="29" t="str">
        <f aca="true">IF(I17&lt;&gt;"",I17,IF(F17&lt;TODAY(),"— Se pasó",IF(F17=TODAY(),"◷ Pendiente (hoy)","◷ Pendiente")))</f>
        <v>◷ Pendiente</v>
      </c>
      <c r="I17" s="28"/>
      <c r="J17" s="26" t="s">
        <v>64</v>
      </c>
      <c r="K17" s="23" t="s">
        <v>65</v>
      </c>
      <c r="L17" s="30" t="s">
        <v>66</v>
      </c>
      <c r="M17" s="22"/>
    </row>
    <row r="18" customFormat="false" ht="24" hidden="false" customHeight="true" outlineLevel="0" collapsed="false">
      <c r="A18" s="13"/>
      <c r="B18" s="31"/>
      <c r="C18" s="31"/>
      <c r="D18" s="31"/>
      <c r="E18" s="31"/>
      <c r="F18" s="32"/>
      <c r="G18" s="31"/>
      <c r="H18" s="20" t="str">
        <f aca="true">IF(I18&lt;&gt;"",I18,IF(F18="","",IF(F18&lt;TODAY(),"— Se pasó",IF(F18=TODAY(),"◷ Pendiente (hoy)","◷ Pendiente"))))</f>
        <v/>
      </c>
      <c r="I18" s="31"/>
      <c r="J18" s="31"/>
      <c r="K18" s="31"/>
      <c r="L18" s="31"/>
      <c r="M18" s="13"/>
    </row>
    <row r="19" customFormat="false" ht="24" hidden="false" customHeight="true" outlineLevel="0" collapsed="false">
      <c r="A19" s="22"/>
      <c r="B19" s="33"/>
      <c r="C19" s="33"/>
      <c r="D19" s="33"/>
      <c r="E19" s="33"/>
      <c r="F19" s="34"/>
      <c r="G19" s="33"/>
      <c r="H19" s="29" t="str">
        <f aca="true">IF(I19&lt;&gt;"",I19,IF(F19="","",IF(F19&lt;TODAY(),"— Se pasó",IF(F19=TODAY(),"◷ Pendiente (hoy)","◷ Pendiente"))))</f>
        <v/>
      </c>
      <c r="I19" s="33"/>
      <c r="J19" s="33"/>
      <c r="K19" s="33"/>
      <c r="L19" s="33"/>
      <c r="M19" s="22"/>
    </row>
    <row r="20" customFormat="false" ht="24" hidden="false" customHeight="true" outlineLevel="0" collapsed="false">
      <c r="A20" s="13"/>
      <c r="B20" s="31"/>
      <c r="C20" s="31"/>
      <c r="D20" s="31"/>
      <c r="E20" s="31"/>
      <c r="F20" s="32"/>
      <c r="G20" s="31"/>
      <c r="H20" s="20" t="str">
        <f aca="true">IF(I20&lt;&gt;"",I20,IF(F20="","",IF(F20&lt;TODAY(),"— Se pasó",IF(F20=TODAY(),"◷ Pendiente (hoy)","◷ Pendiente"))))</f>
        <v/>
      </c>
      <c r="I20" s="31"/>
      <c r="J20" s="31"/>
      <c r="K20" s="31"/>
      <c r="L20" s="31"/>
      <c r="M20" s="13"/>
    </row>
    <row r="21" customFormat="false" ht="24" hidden="false" customHeight="true" outlineLevel="0" collapsed="false">
      <c r="A21" s="22"/>
      <c r="B21" s="33"/>
      <c r="C21" s="33"/>
      <c r="D21" s="33"/>
      <c r="E21" s="33"/>
      <c r="F21" s="34"/>
      <c r="G21" s="33"/>
      <c r="H21" s="29" t="str">
        <f aca="true">IF(I21&lt;&gt;"",I21,IF(F21="","",IF(F21&lt;TODAY(),"— Se pasó",IF(F21=TODAY(),"◷ Pendiente (hoy)","◷ Pendiente"))))</f>
        <v/>
      </c>
      <c r="I21" s="33"/>
      <c r="J21" s="33"/>
      <c r="K21" s="33"/>
      <c r="L21" s="33"/>
      <c r="M21" s="22"/>
    </row>
    <row r="22" customFormat="false" ht="24" hidden="false" customHeight="true" outlineLevel="0" collapsed="false">
      <c r="A22" s="13"/>
      <c r="B22" s="31"/>
      <c r="C22" s="31"/>
      <c r="D22" s="31"/>
      <c r="E22" s="31"/>
      <c r="F22" s="32"/>
      <c r="G22" s="31"/>
      <c r="H22" s="20" t="str">
        <f aca="true">IF(I22&lt;&gt;"",I22,IF(F22="","",IF(F22&lt;TODAY(),"— Se pasó",IF(F22=TODAY(),"◷ Pendiente (hoy)","◷ Pendiente"))))</f>
        <v/>
      </c>
      <c r="I22" s="31"/>
      <c r="J22" s="31"/>
      <c r="K22" s="31"/>
      <c r="L22" s="31"/>
      <c r="M22" s="13"/>
    </row>
    <row r="23" customFormat="false" ht="24" hidden="false" customHeight="true" outlineLevel="0" collapsed="false">
      <c r="A23" s="22"/>
      <c r="B23" s="33"/>
      <c r="C23" s="33"/>
      <c r="D23" s="33"/>
      <c r="E23" s="33"/>
      <c r="F23" s="34"/>
      <c r="G23" s="33"/>
      <c r="H23" s="29" t="str">
        <f aca="true">IF(I23&lt;&gt;"",I23,IF(F23="","",IF(F23&lt;TODAY(),"— Se pasó",IF(F23=TODAY(),"◷ Pendiente (hoy)","◷ Pendiente"))))</f>
        <v/>
      </c>
      <c r="I23" s="33"/>
      <c r="J23" s="33"/>
      <c r="K23" s="33"/>
      <c r="L23" s="33"/>
      <c r="M23" s="22"/>
    </row>
    <row r="24" customFormat="false" ht="24" hidden="false" customHeight="true" outlineLevel="0" collapsed="false">
      <c r="A24" s="13"/>
      <c r="B24" s="31"/>
      <c r="C24" s="31"/>
      <c r="D24" s="31"/>
      <c r="E24" s="31"/>
      <c r="F24" s="32"/>
      <c r="G24" s="31"/>
      <c r="H24" s="20" t="str">
        <f aca="true">IF(I24&lt;&gt;"",I24,IF(F24="","",IF(F24&lt;TODAY(),"— Se pasó",IF(F24=TODAY(),"◷ Pendiente (hoy)","◷ Pendiente"))))</f>
        <v/>
      </c>
      <c r="I24" s="31"/>
      <c r="J24" s="31"/>
      <c r="K24" s="31"/>
      <c r="L24" s="31"/>
      <c r="M24" s="13"/>
    </row>
    <row r="25" customFormat="false" ht="24" hidden="false" customHeight="true" outlineLevel="0" collapsed="false">
      <c r="A25" s="22"/>
      <c r="B25" s="33"/>
      <c r="C25" s="33"/>
      <c r="D25" s="33"/>
      <c r="E25" s="33"/>
      <c r="F25" s="34"/>
      <c r="G25" s="33"/>
      <c r="H25" s="29" t="str">
        <f aca="true">IF(I25&lt;&gt;"",I25,IF(F25="","",IF(F25&lt;TODAY(),"— Se pasó",IF(F25=TODAY(),"◷ Pendiente (hoy)","◷ Pendiente"))))</f>
        <v/>
      </c>
      <c r="I25" s="33"/>
      <c r="J25" s="33"/>
      <c r="K25" s="33"/>
      <c r="L25" s="33"/>
      <c r="M25" s="22"/>
    </row>
    <row r="26" customFormat="false" ht="24" hidden="false" customHeight="true" outlineLevel="0" collapsed="false">
      <c r="A26" s="13"/>
      <c r="B26" s="31"/>
      <c r="C26" s="31"/>
      <c r="D26" s="31"/>
      <c r="E26" s="31"/>
      <c r="F26" s="32"/>
      <c r="G26" s="31"/>
      <c r="H26" s="20" t="str">
        <f aca="true">IF(I26&lt;&gt;"",I26,IF(F26="","",IF(F26&lt;TODAY(),"— Se pasó",IF(F26=TODAY(),"◷ Pendiente (hoy)","◷ Pendiente"))))</f>
        <v/>
      </c>
      <c r="I26" s="31"/>
      <c r="J26" s="31"/>
      <c r="K26" s="31"/>
      <c r="L26" s="31"/>
      <c r="M26" s="13"/>
    </row>
    <row r="27" customFormat="false" ht="24" hidden="false" customHeight="true" outlineLevel="0" collapsed="false">
      <c r="A27" s="22"/>
      <c r="B27" s="33"/>
      <c r="C27" s="33"/>
      <c r="D27" s="33"/>
      <c r="E27" s="33"/>
      <c r="F27" s="34"/>
      <c r="G27" s="33"/>
      <c r="H27" s="29" t="str">
        <f aca="true">IF(I27&lt;&gt;"",I27,IF(F27="","",IF(F27&lt;TODAY(),"— Se pasó",IF(F27=TODAY(),"◷ Pendiente (hoy)","◷ Pendiente"))))</f>
        <v/>
      </c>
      <c r="I27" s="33"/>
      <c r="J27" s="33"/>
      <c r="K27" s="33"/>
      <c r="L27" s="33"/>
      <c r="M27" s="22"/>
    </row>
    <row r="28" customFormat="false" ht="24" hidden="false" customHeight="true" outlineLevel="0" collapsed="false">
      <c r="A28" s="13"/>
      <c r="B28" s="31"/>
      <c r="C28" s="31"/>
      <c r="D28" s="31"/>
      <c r="E28" s="31"/>
      <c r="F28" s="32"/>
      <c r="G28" s="31"/>
      <c r="H28" s="20" t="str">
        <f aca="true">IF(I28&lt;&gt;"",I28,IF(F28="","",IF(F28&lt;TODAY(),"— Se pasó",IF(F28=TODAY(),"◷ Pendiente (hoy)","◷ Pendiente"))))</f>
        <v/>
      </c>
      <c r="I28" s="31"/>
      <c r="J28" s="31"/>
      <c r="K28" s="31"/>
      <c r="L28" s="31"/>
      <c r="M28" s="13"/>
    </row>
    <row r="29" customFormat="false" ht="24" hidden="false" customHeight="true" outlineLevel="0" collapsed="false">
      <c r="A29" s="22"/>
      <c r="B29" s="33"/>
      <c r="C29" s="33"/>
      <c r="D29" s="33"/>
      <c r="E29" s="33"/>
      <c r="F29" s="34"/>
      <c r="G29" s="33"/>
      <c r="H29" s="29" t="str">
        <f aca="true">IF(I29&lt;&gt;"",I29,IF(F29="","",IF(F29&lt;TODAY(),"— Se pasó",IF(F29=TODAY(),"◷ Pendiente (hoy)","◷ Pendiente"))))</f>
        <v/>
      </c>
      <c r="I29" s="33"/>
      <c r="J29" s="33"/>
      <c r="K29" s="33"/>
      <c r="L29" s="33"/>
      <c r="M29" s="22"/>
    </row>
    <row r="30" customFormat="false" ht="24" hidden="false" customHeight="true" outlineLevel="0" collapsed="false">
      <c r="A30" s="13"/>
      <c r="B30" s="31"/>
      <c r="C30" s="31"/>
      <c r="D30" s="31"/>
      <c r="E30" s="31"/>
      <c r="F30" s="32"/>
      <c r="G30" s="31"/>
      <c r="H30" s="20" t="str">
        <f aca="true">IF(I30&lt;&gt;"",I30,IF(F30="","",IF(F30&lt;TODAY(),"— Se pasó",IF(F30=TODAY(),"◷ Pendiente (hoy)","◷ Pendiente"))))</f>
        <v/>
      </c>
      <c r="I30" s="31"/>
      <c r="J30" s="31"/>
      <c r="K30" s="31"/>
      <c r="L30" s="31"/>
      <c r="M30" s="13"/>
    </row>
    <row r="31" customFormat="false" ht="24" hidden="false" customHeight="true" outlineLevel="0" collapsed="false">
      <c r="A31" s="22"/>
      <c r="B31" s="33"/>
      <c r="C31" s="33"/>
      <c r="D31" s="33"/>
      <c r="E31" s="33"/>
      <c r="F31" s="34"/>
      <c r="G31" s="33"/>
      <c r="H31" s="29" t="str">
        <f aca="true">IF(I31&lt;&gt;"",I31,IF(F31="","",IF(F31&lt;TODAY(),"— Se pasó",IF(F31=TODAY(),"◷ Pendiente (hoy)","◷ Pendiente"))))</f>
        <v/>
      </c>
      <c r="I31" s="33"/>
      <c r="J31" s="33"/>
      <c r="K31" s="33"/>
      <c r="L31" s="33"/>
      <c r="M31" s="22"/>
    </row>
    <row r="32" customFormat="false" ht="24" hidden="false" customHeight="true" outlineLevel="0" collapsed="false">
      <c r="A32" s="13"/>
      <c r="B32" s="31"/>
      <c r="C32" s="31"/>
      <c r="D32" s="31"/>
      <c r="E32" s="31"/>
      <c r="F32" s="32"/>
      <c r="G32" s="31"/>
      <c r="H32" s="20" t="str">
        <f aca="true">IF(I32&lt;&gt;"",I32,IF(F32="","",IF(F32&lt;TODAY(),"— Se pasó",IF(F32=TODAY(),"◷ Pendiente (hoy)","◷ Pendiente"))))</f>
        <v/>
      </c>
      <c r="I32" s="31"/>
      <c r="J32" s="31"/>
      <c r="K32" s="31"/>
      <c r="L32" s="31"/>
      <c r="M32" s="13"/>
    </row>
    <row r="33" customFormat="false" ht="24" hidden="false" customHeight="true" outlineLevel="0" collapsed="false">
      <c r="A33" s="22"/>
      <c r="B33" s="33"/>
      <c r="C33" s="33"/>
      <c r="D33" s="33"/>
      <c r="E33" s="33"/>
      <c r="F33" s="34"/>
      <c r="G33" s="33"/>
      <c r="H33" s="29" t="str">
        <f aca="true">IF(I33&lt;&gt;"",I33,IF(F33="","",IF(F33&lt;TODAY(),"— Se pasó",IF(F33=TODAY(),"◷ Pendiente (hoy)","◷ Pendiente"))))</f>
        <v/>
      </c>
      <c r="I33" s="33"/>
      <c r="J33" s="33"/>
      <c r="K33" s="33"/>
      <c r="L33" s="33"/>
      <c r="M33" s="22"/>
    </row>
    <row r="34" customFormat="false" ht="24" hidden="false" customHeight="true" outlineLevel="0" collapsed="false">
      <c r="A34" s="13"/>
      <c r="B34" s="31"/>
      <c r="C34" s="31"/>
      <c r="D34" s="31"/>
      <c r="E34" s="31"/>
      <c r="F34" s="32"/>
      <c r="G34" s="31"/>
      <c r="H34" s="20" t="str">
        <f aca="true">IF(I34&lt;&gt;"",I34,IF(F34="","",IF(F34&lt;TODAY(),"— Se pasó",IF(F34=TODAY(),"◷ Pendiente (hoy)","◷ Pendiente"))))</f>
        <v/>
      </c>
      <c r="I34" s="31"/>
      <c r="J34" s="31"/>
      <c r="K34" s="31"/>
      <c r="L34" s="31"/>
      <c r="M34" s="13"/>
    </row>
    <row r="35" customFormat="false" ht="24" hidden="false" customHeight="true" outlineLevel="0" collapsed="false">
      <c r="A35" s="22"/>
      <c r="B35" s="33"/>
      <c r="C35" s="33"/>
      <c r="D35" s="33"/>
      <c r="E35" s="33"/>
      <c r="F35" s="34"/>
      <c r="G35" s="33"/>
      <c r="H35" s="29" t="str">
        <f aca="true">IF(I35&lt;&gt;"",I35,IF(F35="","",IF(F35&lt;TODAY(),"— Se pasó",IF(F35=TODAY(),"◷ Pendiente (hoy)","◷ Pendiente"))))</f>
        <v/>
      </c>
      <c r="I35" s="33"/>
      <c r="J35" s="33"/>
      <c r="K35" s="33"/>
      <c r="L35" s="33"/>
      <c r="M35" s="22"/>
    </row>
    <row r="36" customFormat="false" ht="24" hidden="false" customHeight="true" outlineLevel="0" collapsed="false">
      <c r="A36" s="13"/>
      <c r="B36" s="31"/>
      <c r="C36" s="31"/>
      <c r="D36" s="31"/>
      <c r="E36" s="31"/>
      <c r="F36" s="32"/>
      <c r="G36" s="31"/>
      <c r="H36" s="20" t="str">
        <f aca="true">IF(I36&lt;&gt;"",I36,IF(F36="","",IF(F36&lt;TODAY(),"— Se pasó",IF(F36=TODAY(),"◷ Pendiente (hoy)","◷ Pendiente"))))</f>
        <v/>
      </c>
      <c r="I36" s="31"/>
      <c r="J36" s="31"/>
      <c r="K36" s="31"/>
      <c r="L36" s="31"/>
      <c r="M36" s="13"/>
    </row>
    <row r="37" customFormat="false" ht="24" hidden="false" customHeight="true" outlineLevel="0" collapsed="false">
      <c r="A37" s="22"/>
      <c r="B37" s="33"/>
      <c r="C37" s="33"/>
      <c r="D37" s="33"/>
      <c r="E37" s="33"/>
      <c r="F37" s="34"/>
      <c r="G37" s="33"/>
      <c r="H37" s="29" t="str">
        <f aca="true">IF(I37&lt;&gt;"",I37,IF(F37="","",IF(F37&lt;TODAY(),"— Se pasó",IF(F37=TODAY(),"◷ Pendiente (hoy)","◷ Pendiente"))))</f>
        <v/>
      </c>
      <c r="I37" s="33"/>
      <c r="J37" s="33"/>
      <c r="K37" s="33"/>
      <c r="L37" s="33"/>
      <c r="M37" s="22"/>
    </row>
    <row r="38" customFormat="false" ht="24" hidden="false" customHeight="true" outlineLevel="0" collapsed="false">
      <c r="A38" s="13"/>
      <c r="B38" s="31"/>
      <c r="C38" s="31"/>
      <c r="D38" s="31"/>
      <c r="E38" s="31"/>
      <c r="F38" s="32"/>
      <c r="G38" s="31"/>
      <c r="H38" s="20" t="str">
        <f aca="true">IF(I38&lt;&gt;"",I38,IF(F38="","",IF(F38&lt;TODAY(),"— Se pasó",IF(F38=TODAY(),"◷ Pendiente (hoy)","◷ Pendiente"))))</f>
        <v/>
      </c>
      <c r="I38" s="31"/>
      <c r="J38" s="31"/>
      <c r="K38" s="31"/>
      <c r="L38" s="31"/>
      <c r="M38" s="13"/>
    </row>
    <row r="39" customFormat="false" ht="24" hidden="false" customHeight="true" outlineLevel="0" collapsed="false">
      <c r="A39" s="22"/>
      <c r="B39" s="33"/>
      <c r="C39" s="33"/>
      <c r="D39" s="33"/>
      <c r="E39" s="33"/>
      <c r="F39" s="34"/>
      <c r="G39" s="33"/>
      <c r="H39" s="29" t="str">
        <f aca="true">IF(I39&lt;&gt;"",I39,IF(F39="","",IF(F39&lt;TODAY(),"— Se pasó",IF(F39=TODAY(),"◷ Pendiente (hoy)","◷ Pendiente"))))</f>
        <v/>
      </c>
      <c r="I39" s="33"/>
      <c r="J39" s="33"/>
      <c r="K39" s="33"/>
      <c r="L39" s="33"/>
      <c r="M39" s="22"/>
    </row>
    <row r="40" customFormat="false" ht="24" hidden="false" customHeight="true" outlineLevel="0" collapsed="false">
      <c r="A40" s="13"/>
      <c r="B40" s="31"/>
      <c r="C40" s="31"/>
      <c r="D40" s="31"/>
      <c r="E40" s="31"/>
      <c r="F40" s="32"/>
      <c r="G40" s="31"/>
      <c r="H40" s="20" t="str">
        <f aca="true">IF(I40&lt;&gt;"",I40,IF(F40="","",IF(F40&lt;TODAY(),"— Se pasó",IF(F40=TODAY(),"◷ Pendiente (hoy)","◷ Pendiente"))))</f>
        <v/>
      </c>
      <c r="I40" s="31"/>
      <c r="J40" s="31"/>
      <c r="K40" s="31"/>
      <c r="L40" s="31"/>
      <c r="M40" s="13"/>
    </row>
    <row r="41" customFormat="false" ht="24" hidden="false" customHeight="true" outlineLevel="0" collapsed="false">
      <c r="A41" s="22"/>
      <c r="B41" s="33"/>
      <c r="C41" s="33"/>
      <c r="D41" s="33"/>
      <c r="E41" s="33"/>
      <c r="F41" s="34"/>
      <c r="G41" s="33"/>
      <c r="H41" s="29" t="str">
        <f aca="true">IF(I41&lt;&gt;"",I41,IF(F41="","",IF(F41&lt;TODAY(),"— Se pasó",IF(F41=TODAY(),"◷ Pendiente (hoy)","◷ Pendiente"))))</f>
        <v/>
      </c>
      <c r="I41" s="33"/>
      <c r="J41" s="33"/>
      <c r="K41" s="33"/>
      <c r="L41" s="33"/>
      <c r="M41" s="22"/>
    </row>
    <row r="42" customFormat="false" ht="24" hidden="false" customHeight="true" outlineLevel="0" collapsed="false">
      <c r="A42" s="13"/>
      <c r="B42" s="31"/>
      <c r="C42" s="31"/>
      <c r="D42" s="31"/>
      <c r="E42" s="31"/>
      <c r="F42" s="32"/>
      <c r="G42" s="31"/>
      <c r="H42" s="20" t="str">
        <f aca="true">IF(I42&lt;&gt;"",I42,IF(F42="","",IF(F42&lt;TODAY(),"— Se pasó",IF(F42=TODAY(),"◷ Pendiente (hoy)","◷ Pendiente"))))</f>
        <v/>
      </c>
      <c r="I42" s="31"/>
      <c r="J42" s="31"/>
      <c r="K42" s="31"/>
      <c r="L42" s="31"/>
      <c r="M42" s="13"/>
    </row>
    <row r="43" customFormat="false" ht="24" hidden="false" customHeight="true" outlineLevel="0" collapsed="false">
      <c r="A43" s="22"/>
      <c r="B43" s="33"/>
      <c r="C43" s="33"/>
      <c r="D43" s="33"/>
      <c r="E43" s="33"/>
      <c r="F43" s="34"/>
      <c r="G43" s="33"/>
      <c r="H43" s="29" t="str">
        <f aca="true">IF(I43&lt;&gt;"",I43,IF(F43="","",IF(F43&lt;TODAY(),"— Se pasó",IF(F43=TODAY(),"◷ Pendiente (hoy)","◷ Pendiente"))))</f>
        <v/>
      </c>
      <c r="I43" s="33"/>
      <c r="J43" s="33"/>
      <c r="K43" s="33"/>
      <c r="L43" s="33"/>
      <c r="M43" s="22"/>
    </row>
    <row r="44" customFormat="false" ht="24" hidden="false" customHeight="true" outlineLevel="0" collapsed="false">
      <c r="A44" s="13"/>
      <c r="B44" s="31"/>
      <c r="C44" s="31"/>
      <c r="D44" s="31"/>
      <c r="E44" s="31"/>
      <c r="F44" s="32"/>
      <c r="G44" s="31"/>
      <c r="H44" s="20" t="str">
        <f aca="true">IF(I44&lt;&gt;"",I44,IF(F44="","",IF(F44&lt;TODAY(),"— Se pasó",IF(F44=TODAY(),"◷ Pendiente (hoy)","◷ Pendiente"))))</f>
        <v/>
      </c>
      <c r="I44" s="31"/>
      <c r="J44" s="31"/>
      <c r="K44" s="31"/>
      <c r="L44" s="31"/>
      <c r="M44" s="13"/>
    </row>
    <row r="45" customFormat="false" ht="24" hidden="false" customHeight="true" outlineLevel="0" collapsed="false">
      <c r="A45" s="22"/>
      <c r="B45" s="33"/>
      <c r="C45" s="33"/>
      <c r="D45" s="33"/>
      <c r="E45" s="33"/>
      <c r="F45" s="34"/>
      <c r="G45" s="33"/>
      <c r="H45" s="29" t="str">
        <f aca="true">IF(I45&lt;&gt;"",I45,IF(F45="","",IF(F45&lt;TODAY(),"— Se pasó",IF(F45=TODAY(),"◷ Pendiente (hoy)","◷ Pendiente"))))</f>
        <v/>
      </c>
      <c r="I45" s="33"/>
      <c r="J45" s="33"/>
      <c r="K45" s="33"/>
      <c r="L45" s="33"/>
      <c r="M45" s="22"/>
    </row>
    <row r="46" customFormat="false" ht="24" hidden="false" customHeight="true" outlineLevel="0" collapsed="false">
      <c r="A46" s="13"/>
      <c r="B46" s="31"/>
      <c r="C46" s="31"/>
      <c r="D46" s="31"/>
      <c r="E46" s="31"/>
      <c r="F46" s="32"/>
      <c r="G46" s="31"/>
      <c r="H46" s="20" t="str">
        <f aca="true">IF(I46&lt;&gt;"",I46,IF(F46="","",IF(F46&lt;TODAY(),"— Se pasó",IF(F46=TODAY(),"◷ Pendiente (hoy)","◷ Pendiente"))))</f>
        <v/>
      </c>
      <c r="I46" s="31"/>
      <c r="J46" s="31"/>
      <c r="K46" s="31"/>
      <c r="L46" s="31"/>
      <c r="M46" s="13"/>
    </row>
    <row r="47" customFormat="false" ht="24" hidden="false" customHeight="true" outlineLevel="0" collapsed="false">
      <c r="A47" s="22"/>
      <c r="B47" s="33"/>
      <c r="C47" s="33"/>
      <c r="D47" s="33"/>
      <c r="E47" s="33"/>
      <c r="F47" s="34"/>
      <c r="G47" s="33"/>
      <c r="H47" s="29" t="str">
        <f aca="true">IF(I47&lt;&gt;"",I47,IF(F47="","",IF(F47&lt;TODAY(),"— Se pasó",IF(F47=TODAY(),"◷ Pendiente (hoy)","◷ Pendiente"))))</f>
        <v/>
      </c>
      <c r="I47" s="33"/>
      <c r="J47" s="33"/>
      <c r="K47" s="33"/>
      <c r="L47" s="33"/>
      <c r="M47" s="22"/>
    </row>
    <row r="48" customFormat="false" ht="24" hidden="false" customHeight="true" outlineLevel="0" collapsed="false">
      <c r="A48" s="13"/>
      <c r="B48" s="31"/>
      <c r="C48" s="31"/>
      <c r="D48" s="31"/>
      <c r="E48" s="31"/>
      <c r="F48" s="32"/>
      <c r="G48" s="31"/>
      <c r="H48" s="20" t="str">
        <f aca="true">IF(I48&lt;&gt;"",I48,IF(F48="","",IF(F48&lt;TODAY(),"— Se pasó",IF(F48=TODAY(),"◷ Pendiente (hoy)","◷ Pendiente"))))</f>
        <v/>
      </c>
      <c r="I48" s="31"/>
      <c r="J48" s="31"/>
      <c r="K48" s="31"/>
      <c r="L48" s="31"/>
      <c r="M48" s="13"/>
    </row>
    <row r="49" customFormat="false" ht="24" hidden="false" customHeight="true" outlineLevel="0" collapsed="false">
      <c r="A49" s="22"/>
      <c r="B49" s="33"/>
      <c r="C49" s="33"/>
      <c r="D49" s="33"/>
      <c r="E49" s="33"/>
      <c r="F49" s="34"/>
      <c r="G49" s="33"/>
      <c r="H49" s="29" t="str">
        <f aca="true">IF(I49&lt;&gt;"",I49,IF(F49="","",IF(F49&lt;TODAY(),"— Se pasó",IF(F49=TODAY(),"◷ Pendiente (hoy)","◷ Pendiente"))))</f>
        <v/>
      </c>
      <c r="I49" s="33"/>
      <c r="J49" s="33"/>
      <c r="K49" s="33"/>
      <c r="L49" s="33"/>
      <c r="M49" s="22"/>
    </row>
    <row r="50" customFormat="false" ht="24" hidden="false" customHeight="true" outlineLevel="0" collapsed="false">
      <c r="A50" s="13"/>
      <c r="B50" s="31"/>
      <c r="C50" s="31"/>
      <c r="D50" s="31"/>
      <c r="E50" s="31"/>
      <c r="F50" s="32"/>
      <c r="G50" s="31"/>
      <c r="H50" s="20" t="str">
        <f aca="true">IF(I50&lt;&gt;"",I50,IF(F50="","",IF(F50&lt;TODAY(),"— Se pasó",IF(F50=TODAY(),"◷ Pendiente (hoy)","◷ Pendiente"))))</f>
        <v/>
      </c>
      <c r="I50" s="31"/>
      <c r="J50" s="31"/>
      <c r="K50" s="31"/>
      <c r="L50" s="31"/>
      <c r="M50" s="13"/>
    </row>
    <row r="51" customFormat="false" ht="24" hidden="false" customHeight="true" outlineLevel="0" collapsed="false">
      <c r="A51" s="22"/>
      <c r="B51" s="33"/>
      <c r="C51" s="33"/>
      <c r="D51" s="33"/>
      <c r="E51" s="33"/>
      <c r="F51" s="34"/>
      <c r="G51" s="33"/>
      <c r="H51" s="29" t="str">
        <f aca="true">IF(I51&lt;&gt;"",I51,IF(F51="","",IF(F51&lt;TODAY(),"— Se pasó",IF(F51=TODAY(),"◷ Pendiente (hoy)","◷ Pendiente"))))</f>
        <v/>
      </c>
      <c r="I51" s="33"/>
      <c r="J51" s="33"/>
      <c r="K51" s="33"/>
      <c r="L51" s="33"/>
      <c r="M51" s="22"/>
    </row>
    <row r="52" customFormat="false" ht="24" hidden="false" customHeight="true" outlineLevel="0" collapsed="false">
      <c r="A52" s="13"/>
      <c r="B52" s="31"/>
      <c r="C52" s="31"/>
      <c r="D52" s="31"/>
      <c r="E52" s="31"/>
      <c r="F52" s="32"/>
      <c r="G52" s="31"/>
      <c r="H52" s="20" t="str">
        <f aca="true">IF(I52&lt;&gt;"",I52,IF(F52="","",IF(F52&lt;TODAY(),"— Se pasó",IF(F52=TODAY(),"◷ Pendiente (hoy)","◷ Pendiente"))))</f>
        <v/>
      </c>
      <c r="I52" s="31"/>
      <c r="J52" s="31"/>
      <c r="K52" s="31"/>
      <c r="L52" s="31"/>
      <c r="M52" s="13"/>
    </row>
    <row r="53" customFormat="false" ht="24" hidden="false" customHeight="true" outlineLevel="0" collapsed="false">
      <c r="A53" s="22"/>
      <c r="B53" s="33"/>
      <c r="C53" s="33"/>
      <c r="D53" s="33"/>
      <c r="E53" s="33"/>
      <c r="F53" s="34"/>
      <c r="G53" s="33"/>
      <c r="H53" s="29" t="str">
        <f aca="true">IF(I53&lt;&gt;"",I53,IF(F53="","",IF(F53&lt;TODAY(),"— Se pasó",IF(F53=TODAY(),"◷ Pendiente (hoy)","◷ Pendiente"))))</f>
        <v/>
      </c>
      <c r="I53" s="33"/>
      <c r="J53" s="33"/>
      <c r="K53" s="33"/>
      <c r="L53" s="33"/>
      <c r="M53" s="22"/>
    </row>
    <row r="54" customFormat="false" ht="24" hidden="false" customHeight="true" outlineLevel="0" collapsed="false">
      <c r="A54" s="13"/>
      <c r="B54" s="31"/>
      <c r="C54" s="31"/>
      <c r="D54" s="31"/>
      <c r="E54" s="31"/>
      <c r="F54" s="32"/>
      <c r="G54" s="31"/>
      <c r="H54" s="20" t="str">
        <f aca="true">IF(I54&lt;&gt;"",I54,IF(F54="","",IF(F54&lt;TODAY(),"— Se pasó",IF(F54=TODAY(),"◷ Pendiente (hoy)","◷ Pendiente"))))</f>
        <v/>
      </c>
      <c r="I54" s="31"/>
      <c r="J54" s="31"/>
      <c r="K54" s="31"/>
      <c r="L54" s="31"/>
      <c r="M54" s="13"/>
    </row>
    <row r="55" customFormat="false" ht="24" hidden="false" customHeight="true" outlineLevel="0" collapsed="false">
      <c r="A55" s="22"/>
      <c r="B55" s="33"/>
      <c r="C55" s="33"/>
      <c r="D55" s="33"/>
      <c r="E55" s="33"/>
      <c r="F55" s="34"/>
      <c r="G55" s="33"/>
      <c r="H55" s="29" t="str">
        <f aca="true">IF(I55&lt;&gt;"",I55,IF(F55="","",IF(F55&lt;TODAY(),"— Se pasó",IF(F55=TODAY(),"◷ Pendiente (hoy)","◷ Pendiente"))))</f>
        <v/>
      </c>
      <c r="I55" s="33"/>
      <c r="J55" s="33"/>
      <c r="K55" s="33"/>
      <c r="L55" s="33"/>
      <c r="M55" s="22"/>
    </row>
    <row r="56" customFormat="false" ht="24" hidden="false" customHeight="true" outlineLevel="0" collapsed="false">
      <c r="A56" s="13"/>
      <c r="B56" s="31"/>
      <c r="C56" s="31"/>
      <c r="D56" s="31"/>
      <c r="E56" s="31"/>
      <c r="F56" s="32"/>
      <c r="G56" s="31"/>
      <c r="H56" s="20" t="str">
        <f aca="true">IF(I56&lt;&gt;"",I56,IF(F56="","",IF(F56&lt;TODAY(),"— Se pasó",IF(F56=TODAY(),"◷ Pendiente (hoy)","◷ Pendiente"))))</f>
        <v/>
      </c>
      <c r="I56" s="31"/>
      <c r="J56" s="31"/>
      <c r="K56" s="31"/>
      <c r="L56" s="31"/>
      <c r="M56" s="13"/>
    </row>
    <row r="57" customFormat="false" ht="24" hidden="false" customHeight="true" outlineLevel="0" collapsed="false">
      <c r="A57" s="22"/>
      <c r="B57" s="33"/>
      <c r="C57" s="33"/>
      <c r="D57" s="33"/>
      <c r="E57" s="33"/>
      <c r="F57" s="34"/>
      <c r="G57" s="33"/>
      <c r="H57" s="29" t="str">
        <f aca="true">IF(I57&lt;&gt;"",I57,IF(F57="","",IF(F57&lt;TODAY(),"— Se pasó",IF(F57=TODAY(),"◷ Pendiente (hoy)","◷ Pendiente"))))</f>
        <v/>
      </c>
      <c r="I57" s="33"/>
      <c r="J57" s="33"/>
      <c r="K57" s="33"/>
      <c r="L57" s="33"/>
      <c r="M57" s="22"/>
    </row>
    <row r="58" customFormat="false" ht="24" hidden="false" customHeight="true" outlineLevel="0" collapsed="false">
      <c r="A58" s="13"/>
      <c r="B58" s="31"/>
      <c r="C58" s="31"/>
      <c r="D58" s="31"/>
      <c r="E58" s="31"/>
      <c r="F58" s="32"/>
      <c r="G58" s="31"/>
      <c r="H58" s="20" t="str">
        <f aca="true">IF(I58&lt;&gt;"",I58,IF(F58="","",IF(F58&lt;TODAY(),"— Se pasó",IF(F58=TODAY(),"◷ Pendiente (hoy)","◷ Pendiente"))))</f>
        <v/>
      </c>
      <c r="I58" s="31"/>
      <c r="J58" s="31"/>
      <c r="K58" s="31"/>
      <c r="L58" s="31"/>
      <c r="M58" s="13"/>
    </row>
    <row r="59" customFormat="false" ht="24" hidden="false" customHeight="true" outlineLevel="0" collapsed="false">
      <c r="A59" s="22"/>
      <c r="B59" s="33"/>
      <c r="C59" s="33"/>
      <c r="D59" s="33"/>
      <c r="E59" s="33"/>
      <c r="F59" s="34"/>
      <c r="G59" s="33"/>
      <c r="H59" s="29" t="str">
        <f aca="true">IF(I59&lt;&gt;"",I59,IF(F59="","",IF(F59&lt;TODAY(),"— Se pasó",IF(F59=TODAY(),"◷ Pendiente (hoy)","◷ Pendiente"))))</f>
        <v/>
      </c>
      <c r="I59" s="33"/>
      <c r="J59" s="33"/>
      <c r="K59" s="33"/>
      <c r="L59" s="33"/>
      <c r="M59" s="22"/>
    </row>
    <row r="60" customFormat="false" ht="24" hidden="false" customHeight="true" outlineLevel="0" collapsed="false">
      <c r="A60" s="13"/>
      <c r="B60" s="31"/>
      <c r="C60" s="31"/>
      <c r="D60" s="31"/>
      <c r="E60" s="31"/>
      <c r="F60" s="32"/>
      <c r="G60" s="31"/>
      <c r="H60" s="20" t="str">
        <f aca="true">IF(I60&lt;&gt;"",I60,IF(F60="","",IF(F60&lt;TODAY(),"— Se pasó",IF(F60=TODAY(),"◷ Pendiente (hoy)","◷ Pendiente"))))</f>
        <v/>
      </c>
      <c r="I60" s="31"/>
      <c r="J60" s="31"/>
      <c r="K60" s="31"/>
      <c r="L60" s="31"/>
      <c r="M60" s="13"/>
    </row>
    <row r="61" customFormat="false" ht="24" hidden="false" customHeight="true" outlineLevel="0" collapsed="false">
      <c r="A61" s="22"/>
      <c r="B61" s="33"/>
      <c r="C61" s="33"/>
      <c r="D61" s="33"/>
      <c r="E61" s="33"/>
      <c r="F61" s="34"/>
      <c r="G61" s="33"/>
      <c r="H61" s="29" t="str">
        <f aca="true">IF(I61&lt;&gt;"",I61,IF(F61="","",IF(F61&lt;TODAY(),"— Se pasó",IF(F61=TODAY(),"◷ Pendiente (hoy)","◷ Pendiente"))))</f>
        <v/>
      </c>
      <c r="I61" s="33"/>
      <c r="J61" s="33"/>
      <c r="K61" s="33"/>
      <c r="L61" s="33"/>
      <c r="M61" s="22"/>
    </row>
    <row r="62" customFormat="false" ht="24" hidden="false" customHeight="true" outlineLevel="0" collapsed="false">
      <c r="A62" s="13"/>
      <c r="B62" s="31"/>
      <c r="C62" s="31"/>
      <c r="D62" s="31"/>
      <c r="E62" s="31"/>
      <c r="F62" s="32"/>
      <c r="G62" s="31"/>
      <c r="H62" s="20" t="str">
        <f aca="true">IF(I62&lt;&gt;"",I62,IF(F62="","",IF(F62&lt;TODAY(),"— Se pasó",IF(F62=TODAY(),"◷ Pendiente (hoy)","◷ Pendiente"))))</f>
        <v/>
      </c>
      <c r="I62" s="31"/>
      <c r="J62" s="31"/>
      <c r="K62" s="31"/>
      <c r="L62" s="31"/>
      <c r="M62" s="13"/>
    </row>
    <row r="63" customFormat="false" ht="24" hidden="false" customHeight="true" outlineLevel="0" collapsed="false">
      <c r="A63" s="22"/>
      <c r="B63" s="33"/>
      <c r="C63" s="33"/>
      <c r="D63" s="33"/>
      <c r="E63" s="33"/>
      <c r="F63" s="34"/>
      <c r="G63" s="33"/>
      <c r="H63" s="29" t="str">
        <f aca="true">IF(I63&lt;&gt;"",I63,IF(F63="","",IF(F63&lt;TODAY(),"— Se pasó",IF(F63=TODAY(),"◷ Pendiente (hoy)","◷ Pendiente"))))</f>
        <v/>
      </c>
      <c r="I63" s="33"/>
      <c r="J63" s="33"/>
      <c r="K63" s="33"/>
      <c r="L63" s="33"/>
      <c r="M63" s="22"/>
    </row>
    <row r="64" customFormat="false" ht="24" hidden="false" customHeight="true" outlineLevel="0" collapsed="false">
      <c r="A64" s="13"/>
      <c r="B64" s="31"/>
      <c r="C64" s="31"/>
      <c r="D64" s="31"/>
      <c r="E64" s="31"/>
      <c r="F64" s="32"/>
      <c r="G64" s="31"/>
      <c r="H64" s="20" t="str">
        <f aca="true">IF(I64&lt;&gt;"",I64,IF(F64="","",IF(F64&lt;TODAY(),"— Se pasó",IF(F64=TODAY(),"◷ Pendiente (hoy)","◷ Pendiente"))))</f>
        <v/>
      </c>
      <c r="I64" s="31"/>
      <c r="J64" s="31"/>
      <c r="K64" s="31"/>
      <c r="L64" s="31"/>
      <c r="M64" s="13"/>
    </row>
    <row r="65" customFormat="false" ht="24" hidden="false" customHeight="true" outlineLevel="0" collapsed="false">
      <c r="A65" s="22"/>
      <c r="B65" s="33"/>
      <c r="C65" s="33"/>
      <c r="D65" s="33"/>
      <c r="E65" s="33"/>
      <c r="F65" s="34"/>
      <c r="G65" s="33"/>
      <c r="H65" s="29" t="str">
        <f aca="true">IF(I65&lt;&gt;"",I65,IF(F65="","",IF(F65&lt;TODAY(),"— Se pasó",IF(F65=TODAY(),"◷ Pendiente (hoy)","◷ Pendiente"))))</f>
        <v/>
      </c>
      <c r="I65" s="33"/>
      <c r="J65" s="33"/>
      <c r="K65" s="33"/>
      <c r="L65" s="33"/>
      <c r="M65" s="22"/>
    </row>
    <row r="66" customFormat="false" ht="24" hidden="false" customHeight="true" outlineLevel="0" collapsed="false">
      <c r="A66" s="13"/>
      <c r="B66" s="31"/>
      <c r="C66" s="31"/>
      <c r="D66" s="31"/>
      <c r="E66" s="31"/>
      <c r="F66" s="32"/>
      <c r="G66" s="31"/>
      <c r="H66" s="20" t="str">
        <f aca="true">IF(I66&lt;&gt;"",I66,IF(F66="","",IF(F66&lt;TODAY(),"— Se pasó",IF(F66=TODAY(),"◷ Pendiente (hoy)","◷ Pendiente"))))</f>
        <v/>
      </c>
      <c r="I66" s="31"/>
      <c r="J66" s="31"/>
      <c r="K66" s="31"/>
      <c r="L66" s="31"/>
      <c r="M66" s="13"/>
    </row>
    <row r="67" customFormat="false" ht="24" hidden="false" customHeight="true" outlineLevel="0" collapsed="false">
      <c r="A67" s="22"/>
      <c r="B67" s="33"/>
      <c r="C67" s="33"/>
      <c r="D67" s="33"/>
      <c r="E67" s="33"/>
      <c r="F67" s="34"/>
      <c r="G67" s="33"/>
      <c r="H67" s="29" t="str">
        <f aca="true">IF(I67&lt;&gt;"",I67,IF(F67="","",IF(F67&lt;TODAY(),"— Se pasó",IF(F67=TODAY(),"◷ Pendiente (hoy)","◷ Pendiente"))))</f>
        <v/>
      </c>
      <c r="I67" s="33"/>
      <c r="J67" s="33"/>
      <c r="K67" s="33"/>
      <c r="L67" s="33"/>
      <c r="M67" s="22"/>
    </row>
    <row r="68" customFormat="false" ht="24" hidden="false" customHeight="true" outlineLevel="0" collapsed="false">
      <c r="A68" s="13"/>
      <c r="B68" s="31"/>
      <c r="C68" s="31"/>
      <c r="D68" s="31"/>
      <c r="E68" s="31"/>
      <c r="F68" s="32"/>
      <c r="G68" s="31"/>
      <c r="H68" s="20" t="str">
        <f aca="true">IF(I68&lt;&gt;"",I68,IF(F68="","",IF(F68&lt;TODAY(),"— Se pasó",IF(F68=TODAY(),"◷ Pendiente (hoy)","◷ Pendiente"))))</f>
        <v/>
      </c>
      <c r="I68" s="31"/>
      <c r="J68" s="31"/>
      <c r="K68" s="31"/>
      <c r="L68" s="31"/>
      <c r="M68" s="13"/>
    </row>
    <row r="69" customFormat="false" ht="24" hidden="false" customHeight="true" outlineLevel="0" collapsed="false">
      <c r="A69" s="22"/>
      <c r="B69" s="33"/>
      <c r="C69" s="33"/>
      <c r="D69" s="33"/>
      <c r="E69" s="33"/>
      <c r="F69" s="34"/>
      <c r="G69" s="33"/>
      <c r="H69" s="29" t="str">
        <f aca="true">IF(I69&lt;&gt;"",I69,IF(F69="","",IF(F69&lt;TODAY(),"— Se pasó",IF(F69=TODAY(),"◷ Pendiente (hoy)","◷ Pendiente"))))</f>
        <v/>
      </c>
      <c r="I69" s="33"/>
      <c r="J69" s="33"/>
      <c r="K69" s="33"/>
      <c r="L69" s="33"/>
      <c r="M69" s="22"/>
    </row>
    <row r="70" customFormat="false" ht="24" hidden="false" customHeight="true" outlineLevel="0" collapsed="false">
      <c r="A70" s="13"/>
      <c r="B70" s="31"/>
      <c r="C70" s="31"/>
      <c r="D70" s="31"/>
      <c r="E70" s="31"/>
      <c r="F70" s="32"/>
      <c r="G70" s="31"/>
      <c r="H70" s="20" t="str">
        <f aca="true">IF(I70&lt;&gt;"",I70,IF(F70="","",IF(F70&lt;TODAY(),"— Se pasó",IF(F70=TODAY(),"◷ Pendiente (hoy)","◷ Pendiente"))))</f>
        <v/>
      </c>
      <c r="I70" s="31"/>
      <c r="J70" s="31"/>
      <c r="K70" s="31"/>
      <c r="L70" s="31"/>
      <c r="M70" s="13"/>
    </row>
    <row r="71" customFormat="false" ht="24" hidden="false" customHeight="true" outlineLevel="0" collapsed="false">
      <c r="A71" s="22"/>
      <c r="B71" s="33"/>
      <c r="C71" s="33"/>
      <c r="D71" s="33"/>
      <c r="E71" s="33"/>
      <c r="F71" s="34"/>
      <c r="G71" s="33"/>
      <c r="H71" s="29" t="str">
        <f aca="true">IF(I71&lt;&gt;"",I71,IF(F71="","",IF(F71&lt;TODAY(),"— Se pasó",IF(F71=TODAY(),"◷ Pendiente (hoy)","◷ Pendiente"))))</f>
        <v/>
      </c>
      <c r="I71" s="33"/>
      <c r="J71" s="33"/>
      <c r="K71" s="33"/>
      <c r="L71" s="33"/>
      <c r="M71" s="22"/>
    </row>
    <row r="72" customFormat="false" ht="24" hidden="false" customHeight="true" outlineLevel="0" collapsed="false">
      <c r="A72" s="13"/>
      <c r="B72" s="31"/>
      <c r="C72" s="31"/>
      <c r="D72" s="31"/>
      <c r="E72" s="31"/>
      <c r="F72" s="32"/>
      <c r="G72" s="31"/>
      <c r="H72" s="20" t="str">
        <f aca="true">IF(I72&lt;&gt;"",I72,IF(F72="","",IF(F72&lt;TODAY(),"— Se pasó",IF(F72=TODAY(),"◷ Pendiente (hoy)","◷ Pendiente"))))</f>
        <v/>
      </c>
      <c r="I72" s="31"/>
      <c r="J72" s="31"/>
      <c r="K72" s="31"/>
      <c r="L72" s="31"/>
      <c r="M72" s="13"/>
    </row>
    <row r="73" customFormat="false" ht="24" hidden="false" customHeight="true" outlineLevel="0" collapsed="false">
      <c r="A73" s="22"/>
      <c r="B73" s="33"/>
      <c r="C73" s="33"/>
      <c r="D73" s="33"/>
      <c r="E73" s="33"/>
      <c r="F73" s="34"/>
      <c r="G73" s="33"/>
      <c r="H73" s="29" t="str">
        <f aca="true">IF(I73&lt;&gt;"",I73,IF(F73="","",IF(F73&lt;TODAY(),"— Se pasó",IF(F73=TODAY(),"◷ Pendiente (hoy)","◷ Pendiente"))))</f>
        <v/>
      </c>
      <c r="I73" s="33"/>
      <c r="J73" s="33"/>
      <c r="K73" s="33"/>
      <c r="L73" s="33"/>
      <c r="M73" s="22"/>
    </row>
    <row r="74" customFormat="false" ht="24" hidden="false" customHeight="true" outlineLevel="0" collapsed="false">
      <c r="A74" s="13"/>
      <c r="B74" s="31"/>
      <c r="C74" s="31"/>
      <c r="D74" s="31"/>
      <c r="E74" s="31"/>
      <c r="F74" s="32"/>
      <c r="G74" s="31"/>
      <c r="H74" s="20" t="str">
        <f aca="true">IF(I74&lt;&gt;"",I74,IF(F74="","",IF(F74&lt;TODAY(),"— Se pasó",IF(F74=TODAY(),"◷ Pendiente (hoy)","◷ Pendiente"))))</f>
        <v/>
      </c>
      <c r="I74" s="31"/>
      <c r="J74" s="31"/>
      <c r="K74" s="31"/>
      <c r="L74" s="31"/>
      <c r="M74" s="13"/>
    </row>
    <row r="75" customFormat="false" ht="24" hidden="false" customHeight="true" outlineLevel="0" collapsed="false">
      <c r="A75" s="22"/>
      <c r="B75" s="33"/>
      <c r="C75" s="33"/>
      <c r="D75" s="33"/>
      <c r="E75" s="33"/>
      <c r="F75" s="34"/>
      <c r="G75" s="33"/>
      <c r="H75" s="29" t="str">
        <f aca="true">IF(I75&lt;&gt;"",I75,IF(F75="","",IF(F75&lt;TODAY(),"— Se pasó",IF(F75=TODAY(),"◷ Pendiente (hoy)","◷ Pendiente"))))</f>
        <v/>
      </c>
      <c r="I75" s="33"/>
      <c r="J75" s="33"/>
      <c r="K75" s="33"/>
      <c r="L75" s="33"/>
      <c r="M75" s="22"/>
    </row>
    <row r="76" customFormat="false" ht="24" hidden="false" customHeight="true" outlineLevel="0" collapsed="false">
      <c r="A76" s="13"/>
      <c r="B76" s="31"/>
      <c r="C76" s="31"/>
      <c r="D76" s="31"/>
      <c r="E76" s="31"/>
      <c r="F76" s="32"/>
      <c r="G76" s="31"/>
      <c r="H76" s="20" t="str">
        <f aca="true">IF(I76&lt;&gt;"",I76,IF(F76="","",IF(F76&lt;TODAY(),"— Se pasó",IF(F76=TODAY(),"◷ Pendiente (hoy)","◷ Pendiente"))))</f>
        <v/>
      </c>
      <c r="I76" s="31"/>
      <c r="J76" s="31"/>
      <c r="K76" s="31"/>
      <c r="L76" s="31"/>
      <c r="M76" s="13"/>
    </row>
    <row r="77" customFormat="false" ht="24" hidden="false" customHeight="true" outlineLevel="0" collapsed="false">
      <c r="A77" s="22"/>
      <c r="B77" s="33"/>
      <c r="C77" s="33"/>
      <c r="D77" s="33"/>
      <c r="E77" s="33"/>
      <c r="F77" s="34"/>
      <c r="G77" s="33"/>
      <c r="H77" s="29" t="str">
        <f aca="true">IF(I77&lt;&gt;"",I77,IF(F77="","",IF(F77&lt;TODAY(),"— Se pasó",IF(F77=TODAY(),"◷ Pendiente (hoy)","◷ Pendiente"))))</f>
        <v/>
      </c>
      <c r="I77" s="33"/>
      <c r="J77" s="33"/>
      <c r="K77" s="33"/>
      <c r="L77" s="33"/>
      <c r="M77" s="22"/>
    </row>
    <row r="78" customFormat="false" ht="24" hidden="false" customHeight="true" outlineLevel="0" collapsed="false">
      <c r="A78" s="13"/>
      <c r="B78" s="31"/>
      <c r="C78" s="31"/>
      <c r="D78" s="31"/>
      <c r="E78" s="31"/>
      <c r="F78" s="32"/>
      <c r="G78" s="31"/>
      <c r="H78" s="20" t="str">
        <f aca="true">IF(I78&lt;&gt;"",I78,IF(F78="","",IF(F78&lt;TODAY(),"— Se pasó",IF(F78=TODAY(),"◷ Pendiente (hoy)","◷ Pendiente"))))</f>
        <v/>
      </c>
      <c r="I78" s="31"/>
      <c r="J78" s="31"/>
      <c r="K78" s="31"/>
      <c r="L78" s="31"/>
      <c r="M78" s="13"/>
    </row>
    <row r="79" customFormat="false" ht="24" hidden="false" customHeight="true" outlineLevel="0" collapsed="false">
      <c r="A79" s="22"/>
      <c r="B79" s="33"/>
      <c r="C79" s="33"/>
      <c r="D79" s="33"/>
      <c r="E79" s="33"/>
      <c r="F79" s="34"/>
      <c r="G79" s="33"/>
      <c r="H79" s="29" t="str">
        <f aca="true">IF(I79&lt;&gt;"",I79,IF(F79="","",IF(F79&lt;TODAY(),"— Se pasó",IF(F79=TODAY(),"◷ Pendiente (hoy)","◷ Pendiente"))))</f>
        <v/>
      </c>
      <c r="I79" s="33"/>
      <c r="J79" s="33"/>
      <c r="K79" s="33"/>
      <c r="L79" s="33"/>
      <c r="M79" s="22"/>
    </row>
    <row r="80" customFormat="false" ht="24" hidden="false" customHeight="true" outlineLevel="0" collapsed="false">
      <c r="A80" s="13"/>
      <c r="B80" s="31"/>
      <c r="C80" s="31"/>
      <c r="D80" s="31"/>
      <c r="E80" s="31"/>
      <c r="F80" s="32"/>
      <c r="G80" s="31"/>
      <c r="H80" s="20" t="str">
        <f aca="true">IF(I80&lt;&gt;"",I80,IF(F80="","",IF(F80&lt;TODAY(),"— Se pasó",IF(F80=TODAY(),"◷ Pendiente (hoy)","◷ Pendiente"))))</f>
        <v/>
      </c>
      <c r="I80" s="31"/>
      <c r="J80" s="31"/>
      <c r="K80" s="31"/>
      <c r="L80" s="31"/>
      <c r="M80" s="13"/>
    </row>
    <row r="81" customFormat="false" ht="24" hidden="false" customHeight="true" outlineLevel="0" collapsed="false">
      <c r="A81" s="22"/>
      <c r="B81" s="33"/>
      <c r="C81" s="33"/>
      <c r="D81" s="33"/>
      <c r="E81" s="33"/>
      <c r="F81" s="34"/>
      <c r="G81" s="33"/>
      <c r="H81" s="29" t="str">
        <f aca="true">IF(I81&lt;&gt;"",I81,IF(F81="","",IF(F81&lt;TODAY(),"— Se pasó",IF(F81=TODAY(),"◷ Pendiente (hoy)","◷ Pendiente"))))</f>
        <v/>
      </c>
      <c r="I81" s="33"/>
      <c r="J81" s="33"/>
      <c r="K81" s="33"/>
      <c r="L81" s="33"/>
      <c r="M81" s="22"/>
    </row>
    <row r="82" customFormat="false" ht="24" hidden="false" customHeight="true" outlineLevel="0" collapsed="false">
      <c r="A82" s="13"/>
      <c r="B82" s="31"/>
      <c r="C82" s="31"/>
      <c r="D82" s="31"/>
      <c r="E82" s="31"/>
      <c r="F82" s="32"/>
      <c r="G82" s="31"/>
      <c r="H82" s="20" t="str">
        <f aca="true">IF(I82&lt;&gt;"",I82,IF(F82="","",IF(F82&lt;TODAY(),"— Se pasó",IF(F82=TODAY(),"◷ Pendiente (hoy)","◷ Pendiente"))))</f>
        <v/>
      </c>
      <c r="I82" s="31"/>
      <c r="J82" s="31"/>
      <c r="K82" s="31"/>
      <c r="L82" s="31"/>
      <c r="M82" s="13"/>
    </row>
    <row r="83" customFormat="false" ht="24" hidden="false" customHeight="true" outlineLevel="0" collapsed="false">
      <c r="A83" s="22"/>
      <c r="B83" s="33"/>
      <c r="C83" s="33"/>
      <c r="D83" s="33"/>
      <c r="E83" s="33"/>
      <c r="F83" s="34"/>
      <c r="G83" s="33"/>
      <c r="H83" s="29" t="str">
        <f aca="true">IF(I83&lt;&gt;"",I83,IF(F83="","",IF(F83&lt;TODAY(),"— Se pasó",IF(F83=TODAY(),"◷ Pendiente (hoy)","◷ Pendiente"))))</f>
        <v/>
      </c>
      <c r="I83" s="33"/>
      <c r="J83" s="33"/>
      <c r="K83" s="33"/>
      <c r="L83" s="33"/>
      <c r="M83" s="22"/>
    </row>
    <row r="84" customFormat="false" ht="24" hidden="false" customHeight="true" outlineLevel="0" collapsed="false">
      <c r="A84" s="13"/>
      <c r="B84" s="31"/>
      <c r="C84" s="31"/>
      <c r="D84" s="31"/>
      <c r="E84" s="31"/>
      <c r="F84" s="32"/>
      <c r="G84" s="31"/>
      <c r="H84" s="20" t="str">
        <f aca="true">IF(I84&lt;&gt;"",I84,IF(F84="","",IF(F84&lt;TODAY(),"— Se pasó",IF(F84=TODAY(),"◷ Pendiente (hoy)","◷ Pendiente"))))</f>
        <v/>
      </c>
      <c r="I84" s="31"/>
      <c r="J84" s="31"/>
      <c r="K84" s="31"/>
      <c r="L84" s="31"/>
      <c r="M84" s="13"/>
    </row>
    <row r="85" customFormat="false" ht="24" hidden="false" customHeight="true" outlineLevel="0" collapsed="false">
      <c r="A85" s="22"/>
      <c r="B85" s="33"/>
      <c r="C85" s="33"/>
      <c r="D85" s="33"/>
      <c r="E85" s="33"/>
      <c r="F85" s="34"/>
      <c r="G85" s="33"/>
      <c r="H85" s="29" t="str">
        <f aca="true">IF(I85&lt;&gt;"",I85,IF(F85="","",IF(F85&lt;TODAY(),"— Se pasó",IF(F85=TODAY(),"◷ Pendiente (hoy)","◷ Pendiente"))))</f>
        <v/>
      </c>
      <c r="I85" s="33"/>
      <c r="J85" s="33"/>
      <c r="K85" s="33"/>
      <c r="L85" s="33"/>
      <c r="M85" s="22"/>
    </row>
    <row r="86" customFormat="false" ht="24" hidden="false" customHeight="true" outlineLevel="0" collapsed="false">
      <c r="A86" s="13"/>
      <c r="B86" s="31"/>
      <c r="C86" s="31"/>
      <c r="D86" s="31"/>
      <c r="E86" s="31"/>
      <c r="F86" s="32"/>
      <c r="G86" s="31"/>
      <c r="H86" s="20" t="str">
        <f aca="true">IF(I86&lt;&gt;"",I86,IF(F86="","",IF(F86&lt;TODAY(),"— Se pasó",IF(F86=TODAY(),"◷ Pendiente (hoy)","◷ Pendiente"))))</f>
        <v/>
      </c>
      <c r="I86" s="31"/>
      <c r="J86" s="31"/>
      <c r="K86" s="31"/>
      <c r="L86" s="31"/>
      <c r="M86" s="13"/>
    </row>
    <row r="87" customFormat="false" ht="24" hidden="false" customHeight="true" outlineLevel="0" collapsed="false">
      <c r="A87" s="22"/>
      <c r="B87" s="33"/>
      <c r="C87" s="33"/>
      <c r="D87" s="33"/>
      <c r="E87" s="33"/>
      <c r="F87" s="34"/>
      <c r="G87" s="33"/>
      <c r="H87" s="29" t="str">
        <f aca="true">IF(I87&lt;&gt;"",I87,IF(F87="","",IF(F87&lt;TODAY(),"— Se pasó",IF(F87=TODAY(),"◷ Pendiente (hoy)","◷ Pendiente"))))</f>
        <v/>
      </c>
      <c r="I87" s="33"/>
      <c r="J87" s="33"/>
      <c r="K87" s="33"/>
      <c r="L87" s="33"/>
      <c r="M87" s="22"/>
    </row>
    <row r="88" customFormat="false" ht="24" hidden="false" customHeight="true" outlineLevel="0" collapsed="false">
      <c r="A88" s="13"/>
      <c r="B88" s="31"/>
      <c r="C88" s="31"/>
      <c r="D88" s="31"/>
      <c r="E88" s="31"/>
      <c r="F88" s="32"/>
      <c r="G88" s="31"/>
      <c r="H88" s="20" t="str">
        <f aca="true">IF(I88&lt;&gt;"",I88,IF(F88="","",IF(F88&lt;TODAY(),"— Se pasó",IF(F88=TODAY(),"◷ Pendiente (hoy)","◷ Pendiente"))))</f>
        <v/>
      </c>
      <c r="I88" s="31"/>
      <c r="J88" s="31"/>
      <c r="K88" s="31"/>
      <c r="L88" s="31"/>
      <c r="M88" s="13"/>
    </row>
    <row r="89" customFormat="false" ht="24" hidden="false" customHeight="true" outlineLevel="0" collapsed="false">
      <c r="A89" s="22"/>
      <c r="B89" s="33"/>
      <c r="C89" s="33"/>
      <c r="D89" s="33"/>
      <c r="E89" s="33"/>
      <c r="F89" s="34"/>
      <c r="G89" s="33"/>
      <c r="H89" s="29" t="str">
        <f aca="true">IF(I89&lt;&gt;"",I89,IF(F89="","",IF(F89&lt;TODAY(),"— Se pasó",IF(F89=TODAY(),"◷ Pendiente (hoy)","◷ Pendiente"))))</f>
        <v/>
      </c>
      <c r="I89" s="33"/>
      <c r="J89" s="33"/>
      <c r="K89" s="33"/>
      <c r="L89" s="33"/>
      <c r="M89" s="22"/>
    </row>
    <row r="90" customFormat="false" ht="24" hidden="false" customHeight="true" outlineLevel="0" collapsed="false">
      <c r="A90" s="13"/>
      <c r="B90" s="31"/>
      <c r="C90" s="31"/>
      <c r="D90" s="31"/>
      <c r="E90" s="31"/>
      <c r="F90" s="32"/>
      <c r="G90" s="31"/>
      <c r="H90" s="20" t="str">
        <f aca="true">IF(I90&lt;&gt;"",I90,IF(F90="","",IF(F90&lt;TODAY(),"— Se pasó",IF(F90=TODAY(),"◷ Pendiente (hoy)","◷ Pendiente"))))</f>
        <v/>
      </c>
      <c r="I90" s="31"/>
      <c r="J90" s="31"/>
      <c r="K90" s="31"/>
      <c r="L90" s="31"/>
      <c r="M90" s="13"/>
    </row>
    <row r="91" customFormat="false" ht="24" hidden="false" customHeight="true" outlineLevel="0" collapsed="false">
      <c r="A91" s="22"/>
      <c r="B91" s="33"/>
      <c r="C91" s="33"/>
      <c r="D91" s="33"/>
      <c r="E91" s="33"/>
      <c r="F91" s="34"/>
      <c r="G91" s="33"/>
      <c r="H91" s="29" t="str">
        <f aca="true">IF(I91&lt;&gt;"",I91,IF(F91="","",IF(F91&lt;TODAY(),"— Se pasó",IF(F91=TODAY(),"◷ Pendiente (hoy)","◷ Pendiente"))))</f>
        <v/>
      </c>
      <c r="I91" s="33"/>
      <c r="J91" s="33"/>
      <c r="K91" s="33"/>
      <c r="L91" s="33"/>
      <c r="M91" s="22"/>
    </row>
    <row r="92" customFormat="false" ht="24" hidden="false" customHeight="true" outlineLevel="0" collapsed="false">
      <c r="A92" s="13"/>
      <c r="B92" s="31"/>
      <c r="C92" s="31"/>
      <c r="D92" s="31"/>
      <c r="E92" s="31"/>
      <c r="F92" s="32"/>
      <c r="G92" s="31"/>
      <c r="H92" s="20" t="str">
        <f aca="true">IF(I92&lt;&gt;"",I92,IF(F92="","",IF(F92&lt;TODAY(),"— Se pasó",IF(F92=TODAY(),"◷ Pendiente (hoy)","◷ Pendiente"))))</f>
        <v/>
      </c>
      <c r="I92" s="31"/>
      <c r="J92" s="31"/>
      <c r="K92" s="31"/>
      <c r="L92" s="31"/>
      <c r="M92" s="13"/>
    </row>
    <row r="93" customFormat="false" ht="24" hidden="false" customHeight="true" outlineLevel="0" collapsed="false">
      <c r="A93" s="22"/>
      <c r="B93" s="33"/>
      <c r="C93" s="33"/>
      <c r="D93" s="33"/>
      <c r="E93" s="33"/>
      <c r="F93" s="34"/>
      <c r="G93" s="33"/>
      <c r="H93" s="29" t="str">
        <f aca="true">IF(I93&lt;&gt;"",I93,IF(F93="","",IF(F93&lt;TODAY(),"— Se pasó",IF(F93=TODAY(),"◷ Pendiente (hoy)","◷ Pendiente"))))</f>
        <v/>
      </c>
      <c r="I93" s="33"/>
      <c r="J93" s="33"/>
      <c r="K93" s="33"/>
      <c r="L93" s="33"/>
      <c r="M93" s="22"/>
    </row>
    <row r="94" customFormat="false" ht="24" hidden="false" customHeight="true" outlineLevel="0" collapsed="false">
      <c r="A94" s="13"/>
      <c r="B94" s="31"/>
      <c r="C94" s="31"/>
      <c r="D94" s="31"/>
      <c r="E94" s="31"/>
      <c r="F94" s="32"/>
      <c r="G94" s="31"/>
      <c r="H94" s="20" t="str">
        <f aca="true">IF(I94&lt;&gt;"",I94,IF(F94="","",IF(F94&lt;TODAY(),"— Se pasó",IF(F94=TODAY(),"◷ Pendiente (hoy)","◷ Pendiente"))))</f>
        <v/>
      </c>
      <c r="I94" s="31"/>
      <c r="J94" s="31"/>
      <c r="K94" s="31"/>
      <c r="L94" s="31"/>
      <c r="M94" s="13"/>
    </row>
    <row r="95" customFormat="false" ht="24" hidden="false" customHeight="true" outlineLevel="0" collapsed="false">
      <c r="A95" s="22"/>
      <c r="B95" s="33"/>
      <c r="C95" s="33"/>
      <c r="D95" s="33"/>
      <c r="E95" s="33"/>
      <c r="F95" s="34"/>
      <c r="G95" s="33"/>
      <c r="H95" s="29" t="str">
        <f aca="true">IF(I95&lt;&gt;"",I95,IF(F95="","",IF(F95&lt;TODAY(),"— Se pasó",IF(F95=TODAY(),"◷ Pendiente (hoy)","◷ Pendiente"))))</f>
        <v/>
      </c>
      <c r="I95" s="33"/>
      <c r="J95" s="33"/>
      <c r="K95" s="33"/>
      <c r="L95" s="33"/>
      <c r="M95" s="22"/>
    </row>
    <row r="96" customFormat="false" ht="24" hidden="false" customHeight="true" outlineLevel="0" collapsed="false">
      <c r="A96" s="13"/>
      <c r="B96" s="31"/>
      <c r="C96" s="31"/>
      <c r="D96" s="31"/>
      <c r="E96" s="31"/>
      <c r="F96" s="32"/>
      <c r="G96" s="31"/>
      <c r="H96" s="20" t="str">
        <f aca="true">IF(I96&lt;&gt;"",I96,IF(F96="","",IF(F96&lt;TODAY(),"— Se pasó",IF(F96=TODAY(),"◷ Pendiente (hoy)","◷ Pendiente"))))</f>
        <v/>
      </c>
      <c r="I96" s="31"/>
      <c r="J96" s="31"/>
      <c r="K96" s="31"/>
      <c r="L96" s="31"/>
      <c r="M96" s="13"/>
    </row>
    <row r="97" customFormat="false" ht="24" hidden="false" customHeight="true" outlineLevel="0" collapsed="false">
      <c r="A97" s="22"/>
      <c r="B97" s="33"/>
      <c r="C97" s="33"/>
      <c r="D97" s="33"/>
      <c r="E97" s="33"/>
      <c r="F97" s="34"/>
      <c r="G97" s="33"/>
      <c r="H97" s="29" t="str">
        <f aca="true">IF(I97&lt;&gt;"",I97,IF(F97="","",IF(F97&lt;TODAY(),"— Se pasó",IF(F97=TODAY(),"◷ Pendiente (hoy)","◷ Pendiente"))))</f>
        <v/>
      </c>
      <c r="I97" s="33"/>
      <c r="J97" s="33"/>
      <c r="K97" s="33"/>
      <c r="L97" s="33"/>
      <c r="M97" s="22"/>
    </row>
    <row r="98" customFormat="false" ht="24" hidden="false" customHeight="true" outlineLevel="0" collapsed="false">
      <c r="A98" s="13"/>
      <c r="B98" s="31"/>
      <c r="C98" s="31"/>
      <c r="D98" s="31"/>
      <c r="E98" s="31"/>
      <c r="F98" s="32"/>
      <c r="G98" s="31"/>
      <c r="H98" s="20" t="str">
        <f aca="true">IF(I98&lt;&gt;"",I98,IF(F98="","",IF(F98&lt;TODAY(),"— Se pasó",IF(F98=TODAY(),"◷ Pendiente (hoy)","◷ Pendiente"))))</f>
        <v/>
      </c>
      <c r="I98" s="31"/>
      <c r="J98" s="31"/>
      <c r="K98" s="31"/>
      <c r="L98" s="31"/>
      <c r="M98" s="13"/>
    </row>
    <row r="99" customFormat="false" ht="24" hidden="false" customHeight="true" outlineLevel="0" collapsed="false">
      <c r="A99" s="22"/>
      <c r="B99" s="33"/>
      <c r="C99" s="33"/>
      <c r="D99" s="33"/>
      <c r="E99" s="33"/>
      <c r="F99" s="34"/>
      <c r="G99" s="33"/>
      <c r="H99" s="29" t="str">
        <f aca="true">IF(I99&lt;&gt;"",I99,IF(F99="","",IF(F99&lt;TODAY(),"— Se pasó",IF(F99=TODAY(),"◷ Pendiente (hoy)","◷ Pendiente"))))</f>
        <v/>
      </c>
      <c r="I99" s="33"/>
      <c r="J99" s="33"/>
      <c r="K99" s="33"/>
      <c r="L99" s="33"/>
      <c r="M99" s="22"/>
    </row>
    <row r="100" customFormat="false" ht="24" hidden="false" customHeight="true" outlineLevel="0" collapsed="false">
      <c r="A100" s="13"/>
      <c r="B100" s="31"/>
      <c r="C100" s="31"/>
      <c r="D100" s="31"/>
      <c r="E100" s="31"/>
      <c r="F100" s="32"/>
      <c r="G100" s="31"/>
      <c r="H100" s="20" t="str">
        <f aca="true">IF(I100&lt;&gt;"",I100,IF(F100="","",IF(F100&lt;TODAY(),"— Se pasó",IF(F100=TODAY(),"◷ Pendiente (hoy)","◷ Pendiente"))))</f>
        <v/>
      </c>
      <c r="I100" s="31"/>
      <c r="J100" s="31"/>
      <c r="K100" s="31"/>
      <c r="L100" s="31"/>
      <c r="M100" s="13"/>
    </row>
    <row r="101" customFormat="false" ht="24" hidden="false" customHeight="true" outlineLevel="0" collapsed="false">
      <c r="A101" s="22"/>
      <c r="B101" s="33"/>
      <c r="C101" s="33"/>
      <c r="D101" s="33"/>
      <c r="E101" s="33"/>
      <c r="F101" s="34"/>
      <c r="G101" s="33"/>
      <c r="H101" s="29" t="str">
        <f aca="true">IF(I101&lt;&gt;"",I101,IF(F101="","",IF(F101&lt;TODAY(),"— Se pasó",IF(F101=TODAY(),"◷ Pendiente (hoy)","◷ Pendiente"))))</f>
        <v/>
      </c>
      <c r="I101" s="33"/>
      <c r="J101" s="33"/>
      <c r="K101" s="33"/>
      <c r="L101" s="33"/>
      <c r="M101" s="22"/>
    </row>
    <row r="102" customFormat="false" ht="24" hidden="false" customHeight="true" outlineLevel="0" collapsed="false">
      <c r="A102" s="13"/>
      <c r="B102" s="31"/>
      <c r="C102" s="31"/>
      <c r="D102" s="31"/>
      <c r="E102" s="31"/>
      <c r="F102" s="32"/>
      <c r="G102" s="31"/>
      <c r="H102" s="20" t="str">
        <f aca="true">IF(I102&lt;&gt;"",I102,IF(F102="","",IF(F102&lt;TODAY(),"— Se pasó",IF(F102=TODAY(),"◷ Pendiente (hoy)","◷ Pendiente"))))</f>
        <v/>
      </c>
      <c r="I102" s="31"/>
      <c r="J102" s="31"/>
      <c r="K102" s="31"/>
      <c r="L102" s="31"/>
      <c r="M102" s="13"/>
    </row>
    <row r="103" customFormat="false" ht="24" hidden="false" customHeight="true" outlineLevel="0" collapsed="false">
      <c r="A103" s="22"/>
      <c r="B103" s="33"/>
      <c r="C103" s="33"/>
      <c r="D103" s="33"/>
      <c r="E103" s="33"/>
      <c r="F103" s="34"/>
      <c r="G103" s="33"/>
      <c r="H103" s="29" t="str">
        <f aca="true">IF(I103&lt;&gt;"",I103,IF(F103="","",IF(F103&lt;TODAY(),"— Se pasó",IF(F103=TODAY(),"◷ Pendiente (hoy)","◷ Pendiente"))))</f>
        <v/>
      </c>
      <c r="I103" s="33"/>
      <c r="J103" s="33"/>
      <c r="K103" s="33"/>
      <c r="L103" s="33"/>
      <c r="M103" s="22"/>
    </row>
    <row r="104" customFormat="false" ht="24" hidden="false" customHeight="true" outlineLevel="0" collapsed="false">
      <c r="A104" s="13"/>
      <c r="B104" s="31"/>
      <c r="C104" s="31"/>
      <c r="D104" s="31"/>
      <c r="E104" s="31"/>
      <c r="F104" s="32"/>
      <c r="G104" s="31"/>
      <c r="H104" s="20" t="str">
        <f aca="true">IF(I104&lt;&gt;"",I104,IF(F104="","",IF(F104&lt;TODAY(),"— Se pasó",IF(F104=TODAY(),"◷ Pendiente (hoy)","◷ Pendiente"))))</f>
        <v/>
      </c>
      <c r="I104" s="31"/>
      <c r="J104" s="31"/>
      <c r="K104" s="31"/>
      <c r="L104" s="31"/>
      <c r="M104" s="13"/>
    </row>
    <row r="105" customFormat="false" ht="24" hidden="false" customHeight="true" outlineLevel="0" collapsed="false">
      <c r="A105" s="22"/>
      <c r="B105" s="33"/>
      <c r="C105" s="33"/>
      <c r="D105" s="33"/>
      <c r="E105" s="33"/>
      <c r="F105" s="34"/>
      <c r="G105" s="33"/>
      <c r="H105" s="29" t="str">
        <f aca="true">IF(I105&lt;&gt;"",I105,IF(F105="","",IF(F105&lt;TODAY(),"— Se pasó",IF(F105=TODAY(),"◷ Pendiente (hoy)","◷ Pendiente"))))</f>
        <v/>
      </c>
      <c r="I105" s="33"/>
      <c r="J105" s="33"/>
      <c r="K105" s="33"/>
      <c r="L105" s="33"/>
      <c r="M105" s="22"/>
    </row>
    <row r="106" customFormat="false" ht="24" hidden="false" customHeight="true" outlineLevel="0" collapsed="false">
      <c r="A106" s="13"/>
      <c r="B106" s="31"/>
      <c r="C106" s="31"/>
      <c r="D106" s="31"/>
      <c r="E106" s="31"/>
      <c r="F106" s="32"/>
      <c r="G106" s="31"/>
      <c r="H106" s="20" t="str">
        <f aca="true">IF(I106&lt;&gt;"",I106,IF(F106="","",IF(F106&lt;TODAY(),"— Se pasó",IF(F106=TODAY(),"◷ Pendiente (hoy)","◷ Pendiente"))))</f>
        <v/>
      </c>
      <c r="I106" s="31"/>
      <c r="J106" s="31"/>
      <c r="K106" s="31"/>
      <c r="L106" s="31"/>
      <c r="M106" s="13"/>
    </row>
    <row r="107" customFormat="false" ht="24" hidden="false" customHeight="true" outlineLevel="0" collapsed="false">
      <c r="A107" s="22"/>
      <c r="B107" s="33"/>
      <c r="C107" s="33"/>
      <c r="D107" s="33"/>
      <c r="E107" s="33"/>
      <c r="F107" s="34"/>
      <c r="G107" s="33"/>
      <c r="H107" s="29" t="str">
        <f aca="true">IF(I107&lt;&gt;"",I107,IF(F107="","",IF(F107&lt;TODAY(),"— Se pasó",IF(F107=TODAY(),"◷ Pendiente (hoy)","◷ Pendiente"))))</f>
        <v/>
      </c>
      <c r="I107" s="33"/>
      <c r="J107" s="33"/>
      <c r="K107" s="33"/>
      <c r="L107" s="33"/>
      <c r="M107" s="22"/>
    </row>
    <row r="108" customFormat="false" ht="24" hidden="false" customHeight="true" outlineLevel="0" collapsed="false">
      <c r="A108" s="13"/>
      <c r="B108" s="31"/>
      <c r="C108" s="31"/>
      <c r="D108" s="31"/>
      <c r="E108" s="31"/>
      <c r="F108" s="32"/>
      <c r="G108" s="31"/>
      <c r="H108" s="20" t="str">
        <f aca="true">IF(I108&lt;&gt;"",I108,IF(F108="","",IF(F108&lt;TODAY(),"— Se pasó",IF(F108=TODAY(),"◷ Pendiente (hoy)","◷ Pendiente"))))</f>
        <v/>
      </c>
      <c r="I108" s="31"/>
      <c r="J108" s="31"/>
      <c r="K108" s="31"/>
      <c r="L108" s="31"/>
      <c r="M108" s="13"/>
    </row>
    <row r="109" customFormat="false" ht="24" hidden="false" customHeight="true" outlineLevel="0" collapsed="false">
      <c r="A109" s="22"/>
      <c r="B109" s="33"/>
      <c r="C109" s="33"/>
      <c r="D109" s="33"/>
      <c r="E109" s="33"/>
      <c r="F109" s="34"/>
      <c r="G109" s="33"/>
      <c r="H109" s="29" t="str">
        <f aca="true">IF(I109&lt;&gt;"",I109,IF(F109="","",IF(F109&lt;TODAY(),"— Se pasó",IF(F109=TODAY(),"◷ Pendiente (hoy)","◷ Pendiente"))))</f>
        <v/>
      </c>
      <c r="I109" s="33"/>
      <c r="J109" s="33"/>
      <c r="K109" s="33"/>
      <c r="L109" s="33"/>
      <c r="M109" s="22"/>
    </row>
    <row r="110" customFormat="false" ht="24" hidden="false" customHeight="true" outlineLevel="0" collapsed="false">
      <c r="A110" s="13"/>
      <c r="B110" s="31"/>
      <c r="C110" s="31"/>
      <c r="D110" s="31"/>
      <c r="E110" s="31"/>
      <c r="F110" s="32"/>
      <c r="G110" s="31"/>
      <c r="H110" s="20" t="str">
        <f aca="true">IF(I110&lt;&gt;"",I110,IF(F110="","",IF(F110&lt;TODAY(),"— Se pasó",IF(F110=TODAY(),"◷ Pendiente (hoy)","◷ Pendiente"))))</f>
        <v/>
      </c>
      <c r="I110" s="31"/>
      <c r="J110" s="31"/>
      <c r="K110" s="31"/>
      <c r="L110" s="31"/>
      <c r="M110" s="13"/>
    </row>
    <row r="111" customFormat="false" ht="24" hidden="false" customHeight="true" outlineLevel="0" collapsed="false">
      <c r="A111" s="22"/>
      <c r="B111" s="33"/>
      <c r="C111" s="33"/>
      <c r="D111" s="33"/>
      <c r="E111" s="33"/>
      <c r="F111" s="34"/>
      <c r="G111" s="33"/>
      <c r="H111" s="29" t="str">
        <f aca="true">IF(I111&lt;&gt;"",I111,IF(F111="","",IF(F111&lt;TODAY(),"— Se pasó",IF(F111=TODAY(),"◷ Pendiente (hoy)","◷ Pendiente"))))</f>
        <v/>
      </c>
      <c r="I111" s="33"/>
      <c r="J111" s="33"/>
      <c r="K111" s="33"/>
      <c r="L111" s="33"/>
      <c r="M111" s="22"/>
    </row>
    <row r="112" customFormat="false" ht="24" hidden="false" customHeight="true" outlineLevel="0" collapsed="false">
      <c r="A112" s="13"/>
      <c r="B112" s="31"/>
      <c r="C112" s="31"/>
      <c r="D112" s="31"/>
      <c r="E112" s="31"/>
      <c r="F112" s="32"/>
      <c r="G112" s="31"/>
      <c r="H112" s="20" t="str">
        <f aca="true">IF(I112&lt;&gt;"",I112,IF(F112="","",IF(F112&lt;TODAY(),"— Se pasó",IF(F112=TODAY(),"◷ Pendiente (hoy)","◷ Pendiente"))))</f>
        <v/>
      </c>
      <c r="I112" s="31"/>
      <c r="J112" s="31"/>
      <c r="K112" s="31"/>
      <c r="L112" s="31"/>
      <c r="M112" s="13"/>
    </row>
    <row r="113" customFormat="false" ht="24" hidden="false" customHeight="true" outlineLevel="0" collapsed="false">
      <c r="A113" s="22"/>
      <c r="B113" s="33"/>
      <c r="C113" s="33"/>
      <c r="D113" s="33"/>
      <c r="E113" s="33"/>
      <c r="F113" s="34"/>
      <c r="G113" s="33"/>
      <c r="H113" s="29" t="str">
        <f aca="true">IF(I113&lt;&gt;"",I113,IF(F113="","",IF(F113&lt;TODAY(),"— Se pasó",IF(F113=TODAY(),"◷ Pendiente (hoy)","◷ Pendiente"))))</f>
        <v/>
      </c>
      <c r="I113" s="33"/>
      <c r="J113" s="33"/>
      <c r="K113" s="33"/>
      <c r="L113" s="33"/>
      <c r="M113" s="22"/>
    </row>
    <row r="114" customFormat="false" ht="24" hidden="false" customHeight="true" outlineLevel="0" collapsed="false">
      <c r="A114" s="13"/>
      <c r="B114" s="31"/>
      <c r="C114" s="31"/>
      <c r="D114" s="31"/>
      <c r="E114" s="31"/>
      <c r="F114" s="32"/>
      <c r="G114" s="31"/>
      <c r="H114" s="20" t="str">
        <f aca="true">IF(I114&lt;&gt;"",I114,IF(F114="","",IF(F114&lt;TODAY(),"— Se pasó",IF(F114=TODAY(),"◷ Pendiente (hoy)","◷ Pendiente"))))</f>
        <v/>
      </c>
      <c r="I114" s="31"/>
      <c r="J114" s="31"/>
      <c r="K114" s="31"/>
      <c r="L114" s="31"/>
      <c r="M114" s="13"/>
    </row>
    <row r="115" customFormat="false" ht="24" hidden="false" customHeight="true" outlineLevel="0" collapsed="false">
      <c r="A115" s="22"/>
      <c r="B115" s="33"/>
      <c r="C115" s="33"/>
      <c r="D115" s="33"/>
      <c r="E115" s="33"/>
      <c r="F115" s="34"/>
      <c r="G115" s="33"/>
      <c r="H115" s="29" t="str">
        <f aca="true">IF(I115&lt;&gt;"",I115,IF(F115="","",IF(F115&lt;TODAY(),"— Se pasó",IF(F115=TODAY(),"◷ Pendiente (hoy)","◷ Pendiente"))))</f>
        <v/>
      </c>
      <c r="I115" s="33"/>
      <c r="J115" s="33"/>
      <c r="K115" s="33"/>
      <c r="L115" s="33"/>
      <c r="M115" s="22"/>
    </row>
    <row r="116" customFormat="false" ht="24" hidden="false" customHeight="true" outlineLevel="0" collapsed="false">
      <c r="A116" s="13"/>
      <c r="B116" s="31"/>
      <c r="C116" s="31"/>
      <c r="D116" s="31"/>
      <c r="E116" s="31"/>
      <c r="F116" s="32"/>
      <c r="G116" s="31"/>
      <c r="H116" s="20" t="str">
        <f aca="true">IF(I116&lt;&gt;"",I116,IF(F116="","",IF(F116&lt;TODAY(),"— Se pasó",IF(F116=TODAY(),"◷ Pendiente (hoy)","◷ Pendiente"))))</f>
        <v/>
      </c>
      <c r="I116" s="31"/>
      <c r="J116" s="31"/>
      <c r="K116" s="31"/>
      <c r="L116" s="31"/>
      <c r="M116" s="13"/>
    </row>
    <row r="117" customFormat="false" ht="24" hidden="false" customHeight="true" outlineLevel="0" collapsed="false">
      <c r="A117" s="22"/>
      <c r="B117" s="33"/>
      <c r="C117" s="33"/>
      <c r="D117" s="33"/>
      <c r="E117" s="33"/>
      <c r="F117" s="34"/>
      <c r="G117" s="33"/>
      <c r="H117" s="29" t="str">
        <f aca="true">IF(I117&lt;&gt;"",I117,IF(F117="","",IF(F117&lt;TODAY(),"— Se pasó",IF(F117=TODAY(),"◷ Pendiente (hoy)","◷ Pendiente"))))</f>
        <v/>
      </c>
      <c r="I117" s="33"/>
      <c r="J117" s="33"/>
      <c r="K117" s="33"/>
      <c r="L117" s="33"/>
      <c r="M117" s="22"/>
    </row>
    <row r="118" customFormat="false" ht="24" hidden="false" customHeight="true" outlineLevel="0" collapsed="false">
      <c r="A118" s="13"/>
      <c r="B118" s="31"/>
      <c r="C118" s="31"/>
      <c r="D118" s="31"/>
      <c r="E118" s="31"/>
      <c r="F118" s="32"/>
      <c r="G118" s="31"/>
      <c r="H118" s="20" t="str">
        <f aca="true">IF(I118&lt;&gt;"",I118,IF(F118="","",IF(F118&lt;TODAY(),"— Se pasó",IF(F118=TODAY(),"◷ Pendiente (hoy)","◷ Pendiente"))))</f>
        <v/>
      </c>
      <c r="I118" s="31"/>
      <c r="J118" s="31"/>
      <c r="K118" s="31"/>
      <c r="L118" s="31"/>
      <c r="M118" s="13"/>
    </row>
    <row r="119" customFormat="false" ht="24" hidden="false" customHeight="true" outlineLevel="0" collapsed="false">
      <c r="A119" s="22"/>
      <c r="B119" s="33"/>
      <c r="C119" s="33"/>
      <c r="D119" s="33"/>
      <c r="E119" s="33"/>
      <c r="F119" s="34"/>
      <c r="G119" s="33"/>
      <c r="H119" s="29" t="str">
        <f aca="true">IF(I119&lt;&gt;"",I119,IF(F119="","",IF(F119&lt;TODAY(),"— Se pasó",IF(F119=TODAY(),"◷ Pendiente (hoy)","◷ Pendiente"))))</f>
        <v/>
      </c>
      <c r="I119" s="33"/>
      <c r="J119" s="33"/>
      <c r="K119" s="33"/>
      <c r="L119" s="33"/>
      <c r="M119" s="22"/>
    </row>
    <row r="120" customFormat="false" ht="24" hidden="false" customHeight="true" outlineLevel="0" collapsed="false">
      <c r="A120" s="13"/>
      <c r="B120" s="31"/>
      <c r="C120" s="31"/>
      <c r="D120" s="31"/>
      <c r="E120" s="31"/>
      <c r="F120" s="32"/>
      <c r="G120" s="31"/>
      <c r="H120" s="20" t="str">
        <f aca="true">IF(I120&lt;&gt;"",I120,IF(F120="","",IF(F120&lt;TODAY(),"— Se pasó",IF(F120=TODAY(),"◷ Pendiente (hoy)","◷ Pendiente"))))</f>
        <v/>
      </c>
      <c r="I120" s="31"/>
      <c r="J120" s="31"/>
      <c r="K120" s="31"/>
      <c r="L120" s="31"/>
      <c r="M120" s="13"/>
    </row>
    <row r="121" customFormat="false" ht="24" hidden="false" customHeight="true" outlineLevel="0" collapsed="false">
      <c r="A121" s="22"/>
      <c r="B121" s="33"/>
      <c r="C121" s="33"/>
      <c r="D121" s="33"/>
      <c r="E121" s="33"/>
      <c r="F121" s="34"/>
      <c r="G121" s="33"/>
      <c r="H121" s="29" t="str">
        <f aca="true">IF(I121&lt;&gt;"",I121,IF(F121="","",IF(F121&lt;TODAY(),"— Se pasó",IF(F121=TODAY(),"◷ Pendiente (hoy)","◷ Pendiente"))))</f>
        <v/>
      </c>
      <c r="I121" s="33"/>
      <c r="J121" s="33"/>
      <c r="K121" s="33"/>
      <c r="L121" s="33"/>
      <c r="M121" s="22"/>
    </row>
    <row r="122" customFormat="false" ht="24" hidden="false" customHeight="true" outlineLevel="0" collapsed="false">
      <c r="A122" s="13"/>
      <c r="B122" s="31"/>
      <c r="C122" s="31"/>
      <c r="D122" s="31"/>
      <c r="E122" s="31"/>
      <c r="F122" s="32"/>
      <c r="G122" s="31"/>
      <c r="H122" s="20" t="str">
        <f aca="true">IF(I122&lt;&gt;"",I122,IF(F122="","",IF(F122&lt;TODAY(),"— Se pasó",IF(F122=TODAY(),"◷ Pendiente (hoy)","◷ Pendiente"))))</f>
        <v/>
      </c>
      <c r="I122" s="31"/>
      <c r="J122" s="31"/>
      <c r="K122" s="31"/>
      <c r="L122" s="31"/>
      <c r="M122" s="13"/>
    </row>
    <row r="123" customFormat="false" ht="24" hidden="false" customHeight="true" outlineLevel="0" collapsed="false">
      <c r="A123" s="22"/>
      <c r="B123" s="33"/>
      <c r="C123" s="33"/>
      <c r="D123" s="33"/>
      <c r="E123" s="33"/>
      <c r="F123" s="34"/>
      <c r="G123" s="33"/>
      <c r="H123" s="29" t="str">
        <f aca="true">IF(I123&lt;&gt;"",I123,IF(F123="","",IF(F123&lt;TODAY(),"— Se pasó",IF(F123=TODAY(),"◷ Pendiente (hoy)","◷ Pendiente"))))</f>
        <v/>
      </c>
      <c r="I123" s="33"/>
      <c r="J123" s="33"/>
      <c r="K123" s="33"/>
      <c r="L123" s="33"/>
      <c r="M123" s="22"/>
    </row>
    <row r="124" customFormat="false" ht="24" hidden="false" customHeight="true" outlineLevel="0" collapsed="false">
      <c r="A124" s="13"/>
      <c r="B124" s="31"/>
      <c r="C124" s="31"/>
      <c r="D124" s="31"/>
      <c r="E124" s="31"/>
      <c r="F124" s="32"/>
      <c r="G124" s="31"/>
      <c r="H124" s="20" t="str">
        <f aca="true">IF(I124&lt;&gt;"",I124,IF(F124="","",IF(F124&lt;TODAY(),"— Se pasó",IF(F124=TODAY(),"◷ Pendiente (hoy)","◷ Pendiente"))))</f>
        <v/>
      </c>
      <c r="I124" s="31"/>
      <c r="J124" s="31"/>
      <c r="K124" s="31"/>
      <c r="L124" s="31"/>
      <c r="M124" s="13"/>
    </row>
    <row r="125" customFormat="false" ht="24" hidden="false" customHeight="true" outlineLevel="0" collapsed="false">
      <c r="A125" s="22"/>
      <c r="B125" s="33"/>
      <c r="C125" s="33"/>
      <c r="D125" s="33"/>
      <c r="E125" s="33"/>
      <c r="F125" s="34"/>
      <c r="G125" s="33"/>
      <c r="H125" s="29" t="str">
        <f aca="true">IF(I125&lt;&gt;"",I125,IF(F125="","",IF(F125&lt;TODAY(),"— Se pasó",IF(F125=TODAY(),"◷ Pendiente (hoy)","◷ Pendiente"))))</f>
        <v/>
      </c>
      <c r="I125" s="33"/>
      <c r="J125" s="33"/>
      <c r="K125" s="33"/>
      <c r="L125" s="33"/>
      <c r="M125" s="22"/>
    </row>
    <row r="126" customFormat="false" ht="24" hidden="false" customHeight="true" outlineLevel="0" collapsed="false">
      <c r="A126" s="13"/>
      <c r="B126" s="31"/>
      <c r="C126" s="31"/>
      <c r="D126" s="31"/>
      <c r="E126" s="31"/>
      <c r="F126" s="32"/>
      <c r="G126" s="31"/>
      <c r="H126" s="20" t="str">
        <f aca="true">IF(I126&lt;&gt;"",I126,IF(F126="","",IF(F126&lt;TODAY(),"— Se pasó",IF(F126=TODAY(),"◷ Pendiente (hoy)","◷ Pendiente"))))</f>
        <v/>
      </c>
      <c r="I126" s="31"/>
      <c r="J126" s="31"/>
      <c r="K126" s="31"/>
      <c r="L126" s="31"/>
      <c r="M126" s="13"/>
    </row>
    <row r="127" customFormat="false" ht="24" hidden="false" customHeight="true" outlineLevel="0" collapsed="false">
      <c r="A127" s="22"/>
      <c r="B127" s="33"/>
      <c r="C127" s="33"/>
      <c r="D127" s="33"/>
      <c r="E127" s="33"/>
      <c r="F127" s="34"/>
      <c r="G127" s="33"/>
      <c r="H127" s="29" t="str">
        <f aca="true">IF(I127&lt;&gt;"",I127,IF(F127="","",IF(F127&lt;TODAY(),"— Se pasó",IF(F127=TODAY(),"◷ Pendiente (hoy)","◷ Pendiente"))))</f>
        <v/>
      </c>
      <c r="I127" s="33"/>
      <c r="J127" s="33"/>
      <c r="K127" s="33"/>
      <c r="L127" s="33"/>
      <c r="M127" s="22"/>
    </row>
    <row r="128" customFormat="false" ht="24" hidden="false" customHeight="true" outlineLevel="0" collapsed="false">
      <c r="A128" s="13"/>
      <c r="B128" s="31"/>
      <c r="C128" s="31"/>
      <c r="D128" s="31"/>
      <c r="E128" s="31"/>
      <c r="F128" s="32"/>
      <c r="G128" s="31"/>
      <c r="H128" s="20" t="str">
        <f aca="true">IF(I128&lt;&gt;"",I128,IF(F128="","",IF(F128&lt;TODAY(),"— Se pasó",IF(F128=TODAY(),"◷ Pendiente (hoy)","◷ Pendiente"))))</f>
        <v/>
      </c>
      <c r="I128" s="31"/>
      <c r="J128" s="31"/>
      <c r="K128" s="31"/>
      <c r="L128" s="31"/>
      <c r="M128" s="13"/>
    </row>
    <row r="129" customFormat="false" ht="24" hidden="false" customHeight="true" outlineLevel="0" collapsed="false">
      <c r="A129" s="22"/>
      <c r="B129" s="33"/>
      <c r="C129" s="33"/>
      <c r="D129" s="33"/>
      <c r="E129" s="33"/>
      <c r="F129" s="34"/>
      <c r="G129" s="33"/>
      <c r="H129" s="29" t="str">
        <f aca="true">IF(I129&lt;&gt;"",I129,IF(F129="","",IF(F129&lt;TODAY(),"— Se pasó",IF(F129=TODAY(),"◷ Pendiente (hoy)","◷ Pendiente"))))</f>
        <v/>
      </c>
      <c r="I129" s="33"/>
      <c r="J129" s="33"/>
      <c r="K129" s="33"/>
      <c r="L129" s="33"/>
      <c r="M129" s="22"/>
    </row>
    <row r="130" customFormat="false" ht="24" hidden="false" customHeight="true" outlineLevel="0" collapsed="false">
      <c r="A130" s="13"/>
      <c r="B130" s="31"/>
      <c r="C130" s="31"/>
      <c r="D130" s="31"/>
      <c r="E130" s="31"/>
      <c r="F130" s="32"/>
      <c r="G130" s="31"/>
      <c r="H130" s="20" t="str">
        <f aca="true">IF(I130&lt;&gt;"",I130,IF(F130="","",IF(F130&lt;TODAY(),"— Se pasó",IF(F130=TODAY(),"◷ Pendiente (hoy)","◷ Pendiente"))))</f>
        <v/>
      </c>
      <c r="I130" s="31"/>
      <c r="J130" s="31"/>
      <c r="K130" s="31"/>
      <c r="L130" s="31"/>
      <c r="M130" s="13"/>
    </row>
    <row r="131" customFormat="false" ht="24" hidden="false" customHeight="true" outlineLevel="0" collapsed="false">
      <c r="A131" s="22"/>
      <c r="B131" s="33"/>
      <c r="C131" s="33"/>
      <c r="D131" s="33"/>
      <c r="E131" s="33"/>
      <c r="F131" s="34"/>
      <c r="G131" s="33"/>
      <c r="H131" s="29" t="str">
        <f aca="true">IF(I131&lt;&gt;"",I131,IF(F131="","",IF(F131&lt;TODAY(),"— Se pasó",IF(F131=TODAY(),"◷ Pendiente (hoy)","◷ Pendiente"))))</f>
        <v/>
      </c>
      <c r="I131" s="33"/>
      <c r="J131" s="33"/>
      <c r="K131" s="33"/>
      <c r="L131" s="33"/>
      <c r="M131" s="22"/>
    </row>
    <row r="132" customFormat="false" ht="24" hidden="false" customHeight="true" outlineLevel="0" collapsed="false">
      <c r="A132" s="13"/>
      <c r="B132" s="31"/>
      <c r="C132" s="31"/>
      <c r="D132" s="31"/>
      <c r="E132" s="31"/>
      <c r="F132" s="32"/>
      <c r="G132" s="31"/>
      <c r="H132" s="20" t="str">
        <f aca="true">IF(I132&lt;&gt;"",I132,IF(F132="","",IF(F132&lt;TODAY(),"— Se pasó",IF(F132=TODAY(),"◷ Pendiente (hoy)","◷ Pendiente"))))</f>
        <v/>
      </c>
      <c r="I132" s="31"/>
      <c r="J132" s="31"/>
      <c r="K132" s="31"/>
      <c r="L132" s="31"/>
      <c r="M132" s="13"/>
    </row>
    <row r="133" customFormat="false" ht="24" hidden="false" customHeight="true" outlineLevel="0" collapsed="false">
      <c r="A133" s="22"/>
      <c r="B133" s="33"/>
      <c r="C133" s="33"/>
      <c r="D133" s="33"/>
      <c r="E133" s="33"/>
      <c r="F133" s="34"/>
      <c r="G133" s="33"/>
      <c r="H133" s="29" t="str">
        <f aca="true">IF(I133&lt;&gt;"",I133,IF(F133="","",IF(F133&lt;TODAY(),"— Se pasó",IF(F133=TODAY(),"◷ Pendiente (hoy)","◷ Pendiente"))))</f>
        <v/>
      </c>
      <c r="I133" s="33"/>
      <c r="J133" s="33"/>
      <c r="K133" s="33"/>
      <c r="L133" s="33"/>
      <c r="M133" s="22"/>
    </row>
    <row r="134" customFormat="false" ht="24" hidden="false" customHeight="true" outlineLevel="0" collapsed="false">
      <c r="A134" s="13"/>
      <c r="B134" s="31"/>
      <c r="C134" s="31"/>
      <c r="D134" s="31"/>
      <c r="E134" s="31"/>
      <c r="F134" s="32"/>
      <c r="G134" s="31"/>
      <c r="H134" s="20" t="str">
        <f aca="true">IF(I134&lt;&gt;"",I134,IF(F134="","",IF(F134&lt;TODAY(),"— Se pasó",IF(F134=TODAY(),"◷ Pendiente (hoy)","◷ Pendiente"))))</f>
        <v/>
      </c>
      <c r="I134" s="31"/>
      <c r="J134" s="31"/>
      <c r="K134" s="31"/>
      <c r="L134" s="31"/>
      <c r="M134" s="13"/>
    </row>
    <row r="135" customFormat="false" ht="24" hidden="false" customHeight="true" outlineLevel="0" collapsed="false">
      <c r="A135" s="22"/>
      <c r="B135" s="33"/>
      <c r="C135" s="33"/>
      <c r="D135" s="33"/>
      <c r="E135" s="33"/>
      <c r="F135" s="34"/>
      <c r="G135" s="33"/>
      <c r="H135" s="29" t="str">
        <f aca="true">IF(I135&lt;&gt;"",I135,IF(F135="","",IF(F135&lt;TODAY(),"— Se pasó",IF(F135=TODAY(),"◷ Pendiente (hoy)","◷ Pendiente"))))</f>
        <v/>
      </c>
      <c r="I135" s="33"/>
      <c r="J135" s="33"/>
      <c r="K135" s="33"/>
      <c r="L135" s="33"/>
      <c r="M135" s="22"/>
    </row>
    <row r="136" customFormat="false" ht="24" hidden="false" customHeight="true" outlineLevel="0" collapsed="false">
      <c r="A136" s="13"/>
      <c r="B136" s="31"/>
      <c r="C136" s="31"/>
      <c r="D136" s="31"/>
      <c r="E136" s="31"/>
      <c r="F136" s="32"/>
      <c r="G136" s="31"/>
      <c r="H136" s="20" t="str">
        <f aca="true">IF(I136&lt;&gt;"",I136,IF(F136="","",IF(F136&lt;TODAY(),"— Se pasó",IF(F136=TODAY(),"◷ Pendiente (hoy)","◷ Pendiente"))))</f>
        <v/>
      </c>
      <c r="I136" s="31"/>
      <c r="J136" s="31"/>
      <c r="K136" s="31"/>
      <c r="L136" s="31"/>
      <c r="M136" s="13"/>
    </row>
    <row r="137" customFormat="false" ht="24" hidden="false" customHeight="true" outlineLevel="0" collapsed="false">
      <c r="A137" s="22"/>
      <c r="B137" s="33"/>
      <c r="C137" s="33"/>
      <c r="D137" s="33"/>
      <c r="E137" s="33"/>
      <c r="F137" s="34"/>
      <c r="G137" s="33"/>
      <c r="H137" s="29" t="str">
        <f aca="true">IF(I137&lt;&gt;"",I137,IF(F137="","",IF(F137&lt;TODAY(),"— Se pasó",IF(F137=TODAY(),"◷ Pendiente (hoy)","◷ Pendiente"))))</f>
        <v/>
      </c>
      <c r="I137" s="33"/>
      <c r="J137" s="33"/>
      <c r="K137" s="33"/>
      <c r="L137" s="33"/>
      <c r="M137" s="22"/>
    </row>
    <row r="138" customFormat="false" ht="24" hidden="false" customHeight="true" outlineLevel="0" collapsed="false">
      <c r="A138" s="13"/>
      <c r="B138" s="31"/>
      <c r="C138" s="31"/>
      <c r="D138" s="31"/>
      <c r="E138" s="31"/>
      <c r="F138" s="32"/>
      <c r="G138" s="31"/>
      <c r="H138" s="20" t="str">
        <f aca="true">IF(I138&lt;&gt;"",I138,IF(F138="","",IF(F138&lt;TODAY(),"— Se pasó",IF(F138=TODAY(),"◷ Pendiente (hoy)","◷ Pendiente"))))</f>
        <v/>
      </c>
      <c r="I138" s="31"/>
      <c r="J138" s="31"/>
      <c r="K138" s="31"/>
      <c r="L138" s="31"/>
      <c r="M138" s="13"/>
    </row>
    <row r="139" customFormat="false" ht="24" hidden="false" customHeight="true" outlineLevel="0" collapsed="false">
      <c r="A139" s="22"/>
      <c r="B139" s="33"/>
      <c r="C139" s="33"/>
      <c r="D139" s="33"/>
      <c r="E139" s="33"/>
      <c r="F139" s="34"/>
      <c r="G139" s="33"/>
      <c r="H139" s="29" t="str">
        <f aca="true">IF(I139&lt;&gt;"",I139,IF(F139="","",IF(F139&lt;TODAY(),"— Se pasó",IF(F139=TODAY(),"◷ Pendiente (hoy)","◷ Pendiente"))))</f>
        <v/>
      </c>
      <c r="I139" s="33"/>
      <c r="J139" s="33"/>
      <c r="K139" s="33"/>
      <c r="L139" s="33"/>
      <c r="M139" s="22"/>
    </row>
    <row r="140" customFormat="false" ht="24" hidden="false" customHeight="true" outlineLevel="0" collapsed="false">
      <c r="A140" s="13"/>
      <c r="B140" s="31"/>
      <c r="C140" s="31"/>
      <c r="D140" s="31"/>
      <c r="E140" s="31"/>
      <c r="F140" s="32"/>
      <c r="G140" s="31"/>
      <c r="H140" s="20" t="str">
        <f aca="true">IF(I140&lt;&gt;"",I140,IF(F140="","",IF(F140&lt;TODAY(),"— Se pasó",IF(F140=TODAY(),"◷ Pendiente (hoy)","◷ Pendiente"))))</f>
        <v/>
      </c>
      <c r="I140" s="31"/>
      <c r="J140" s="31"/>
      <c r="K140" s="31"/>
      <c r="L140" s="31"/>
      <c r="M140" s="13"/>
    </row>
    <row r="141" customFormat="false" ht="24" hidden="false" customHeight="true" outlineLevel="0" collapsed="false">
      <c r="A141" s="22"/>
      <c r="B141" s="33"/>
      <c r="C141" s="33"/>
      <c r="D141" s="33"/>
      <c r="E141" s="33"/>
      <c r="F141" s="34"/>
      <c r="G141" s="33"/>
      <c r="H141" s="29" t="str">
        <f aca="true">IF(I141&lt;&gt;"",I141,IF(F141="","",IF(F141&lt;TODAY(),"— Se pasó",IF(F141=TODAY(),"◷ Pendiente (hoy)","◷ Pendiente"))))</f>
        <v/>
      </c>
      <c r="I141" s="33"/>
      <c r="J141" s="33"/>
      <c r="K141" s="33"/>
      <c r="L141" s="33"/>
      <c r="M141" s="22"/>
    </row>
    <row r="142" customFormat="false" ht="24" hidden="false" customHeight="true" outlineLevel="0" collapsed="false">
      <c r="A142" s="13"/>
      <c r="B142" s="31"/>
      <c r="C142" s="31"/>
      <c r="D142" s="31"/>
      <c r="E142" s="31"/>
      <c r="F142" s="32"/>
      <c r="G142" s="31"/>
      <c r="H142" s="20" t="str">
        <f aca="true">IF(I142&lt;&gt;"",I142,IF(F142="","",IF(F142&lt;TODAY(),"— Se pasó",IF(F142=TODAY(),"◷ Pendiente (hoy)","◷ Pendiente"))))</f>
        <v/>
      </c>
      <c r="I142" s="31"/>
      <c r="J142" s="31"/>
      <c r="K142" s="31"/>
      <c r="L142" s="31"/>
      <c r="M142" s="13"/>
    </row>
    <row r="143" customFormat="false" ht="24" hidden="false" customHeight="true" outlineLevel="0" collapsed="false">
      <c r="A143" s="22"/>
      <c r="B143" s="33"/>
      <c r="C143" s="33"/>
      <c r="D143" s="33"/>
      <c r="E143" s="33"/>
      <c r="F143" s="34"/>
      <c r="G143" s="33"/>
      <c r="H143" s="29" t="str">
        <f aca="true">IF(I143&lt;&gt;"",I143,IF(F143="","",IF(F143&lt;TODAY(),"— Se pasó",IF(F143=TODAY(),"◷ Pendiente (hoy)","◷ Pendiente"))))</f>
        <v/>
      </c>
      <c r="I143" s="33"/>
      <c r="J143" s="33"/>
      <c r="K143" s="33"/>
      <c r="L143" s="33"/>
      <c r="M143" s="22"/>
    </row>
    <row r="144" customFormat="false" ht="24" hidden="false" customHeight="true" outlineLevel="0" collapsed="false">
      <c r="A144" s="13"/>
      <c r="B144" s="31"/>
      <c r="C144" s="31"/>
      <c r="D144" s="31"/>
      <c r="E144" s="31"/>
      <c r="F144" s="32"/>
      <c r="G144" s="31"/>
      <c r="H144" s="20" t="str">
        <f aca="true">IF(I144&lt;&gt;"",I144,IF(F144="","",IF(F144&lt;TODAY(),"— Se pasó",IF(F144=TODAY(),"◷ Pendiente (hoy)","◷ Pendiente"))))</f>
        <v/>
      </c>
      <c r="I144" s="31"/>
      <c r="J144" s="31"/>
      <c r="K144" s="31"/>
      <c r="L144" s="31"/>
      <c r="M144" s="13"/>
    </row>
    <row r="145" customFormat="false" ht="24" hidden="false" customHeight="true" outlineLevel="0" collapsed="false">
      <c r="A145" s="22"/>
      <c r="B145" s="33"/>
      <c r="C145" s="33"/>
      <c r="D145" s="33"/>
      <c r="E145" s="33"/>
      <c r="F145" s="34"/>
      <c r="G145" s="33"/>
      <c r="H145" s="29" t="str">
        <f aca="true">IF(I145&lt;&gt;"",I145,IF(F145="","",IF(F145&lt;TODAY(),"— Se pasó",IF(F145=TODAY(),"◷ Pendiente (hoy)","◷ Pendiente"))))</f>
        <v/>
      </c>
      <c r="I145" s="33"/>
      <c r="J145" s="33"/>
      <c r="K145" s="33"/>
      <c r="L145" s="33"/>
      <c r="M145" s="22"/>
    </row>
    <row r="146" customFormat="false" ht="24" hidden="false" customHeight="true" outlineLevel="0" collapsed="false">
      <c r="A146" s="13"/>
      <c r="B146" s="31"/>
      <c r="C146" s="31"/>
      <c r="D146" s="31"/>
      <c r="E146" s="31"/>
      <c r="F146" s="32"/>
      <c r="G146" s="31"/>
      <c r="H146" s="20" t="str">
        <f aca="true">IF(I146&lt;&gt;"",I146,IF(F146="","",IF(F146&lt;TODAY(),"— Se pasó",IF(F146=TODAY(),"◷ Pendiente (hoy)","◷ Pendiente"))))</f>
        <v/>
      </c>
      <c r="I146" s="31"/>
      <c r="J146" s="31"/>
      <c r="K146" s="31"/>
      <c r="L146" s="31"/>
      <c r="M146" s="13"/>
    </row>
    <row r="147" customFormat="false" ht="24" hidden="false" customHeight="true" outlineLevel="0" collapsed="false">
      <c r="A147" s="22"/>
      <c r="B147" s="33"/>
      <c r="C147" s="33"/>
      <c r="D147" s="33"/>
      <c r="E147" s="33"/>
      <c r="F147" s="34"/>
      <c r="G147" s="33"/>
      <c r="H147" s="29" t="str">
        <f aca="true">IF(I147&lt;&gt;"",I147,IF(F147="","",IF(F147&lt;TODAY(),"— Se pasó",IF(F147=TODAY(),"◷ Pendiente (hoy)","◷ Pendiente"))))</f>
        <v/>
      </c>
      <c r="I147" s="33"/>
      <c r="J147" s="33"/>
      <c r="K147" s="33"/>
      <c r="L147" s="33"/>
      <c r="M147" s="22"/>
    </row>
    <row r="148" customFormat="false" ht="24" hidden="false" customHeight="true" outlineLevel="0" collapsed="false">
      <c r="A148" s="13"/>
      <c r="B148" s="31"/>
      <c r="C148" s="31"/>
      <c r="D148" s="31"/>
      <c r="E148" s="31"/>
      <c r="F148" s="32"/>
      <c r="G148" s="31"/>
      <c r="H148" s="20" t="str">
        <f aca="true">IF(I148&lt;&gt;"",I148,IF(F148="","",IF(F148&lt;TODAY(),"— Se pasó",IF(F148=TODAY(),"◷ Pendiente (hoy)","◷ Pendiente"))))</f>
        <v/>
      </c>
      <c r="I148" s="31"/>
      <c r="J148" s="31"/>
      <c r="K148" s="31"/>
      <c r="L148" s="31"/>
      <c r="M148" s="13"/>
    </row>
    <row r="149" customFormat="false" ht="24" hidden="false" customHeight="true" outlineLevel="0" collapsed="false">
      <c r="A149" s="22"/>
      <c r="B149" s="33"/>
      <c r="C149" s="33"/>
      <c r="D149" s="33"/>
      <c r="E149" s="33"/>
      <c r="F149" s="34"/>
      <c r="G149" s="33"/>
      <c r="H149" s="29" t="str">
        <f aca="true">IF(I149&lt;&gt;"",I149,IF(F149="","",IF(F149&lt;TODAY(),"— Se pasó",IF(F149=TODAY(),"◷ Pendiente (hoy)","◷ Pendiente"))))</f>
        <v/>
      </c>
      <c r="I149" s="33"/>
      <c r="J149" s="33"/>
      <c r="K149" s="33"/>
      <c r="L149" s="33"/>
      <c r="M149" s="22"/>
    </row>
    <row r="150" customFormat="false" ht="24" hidden="false" customHeight="true" outlineLevel="0" collapsed="false">
      <c r="A150" s="13"/>
      <c r="B150" s="31"/>
      <c r="C150" s="31"/>
      <c r="D150" s="31"/>
      <c r="E150" s="31"/>
      <c r="F150" s="32"/>
      <c r="G150" s="31"/>
      <c r="H150" s="20" t="str">
        <f aca="true">IF(I150&lt;&gt;"",I150,IF(F150="","",IF(F150&lt;TODAY(),"— Se pasó",IF(F150=TODAY(),"◷ Pendiente (hoy)","◷ Pendiente"))))</f>
        <v/>
      </c>
      <c r="I150" s="31"/>
      <c r="J150" s="31"/>
      <c r="K150" s="31"/>
      <c r="L150" s="31"/>
      <c r="M150" s="13"/>
    </row>
    <row r="151" customFormat="false" ht="24" hidden="false" customHeight="true" outlineLevel="0" collapsed="false">
      <c r="A151" s="22"/>
      <c r="B151" s="33"/>
      <c r="C151" s="33"/>
      <c r="D151" s="33"/>
      <c r="E151" s="33"/>
      <c r="F151" s="34"/>
      <c r="G151" s="33"/>
      <c r="H151" s="29" t="str">
        <f aca="true">IF(I151&lt;&gt;"",I151,IF(F151="","",IF(F151&lt;TODAY(),"— Se pasó",IF(F151=TODAY(),"◷ Pendiente (hoy)","◷ Pendiente"))))</f>
        <v/>
      </c>
      <c r="I151" s="33"/>
      <c r="J151" s="33"/>
      <c r="K151" s="33"/>
      <c r="L151" s="33"/>
      <c r="M151" s="22"/>
    </row>
    <row r="152" customFormat="false" ht="24" hidden="false" customHeight="true" outlineLevel="0" collapsed="false">
      <c r="A152" s="13"/>
      <c r="B152" s="31"/>
      <c r="C152" s="31"/>
      <c r="D152" s="31"/>
      <c r="E152" s="31"/>
      <c r="F152" s="32"/>
      <c r="G152" s="31"/>
      <c r="H152" s="20" t="str">
        <f aca="true">IF(I152&lt;&gt;"",I152,IF(F152="","",IF(F152&lt;TODAY(),"— Se pasó",IF(F152=TODAY(),"◷ Pendiente (hoy)","◷ Pendiente"))))</f>
        <v/>
      </c>
      <c r="I152" s="31"/>
      <c r="J152" s="31"/>
      <c r="K152" s="31"/>
      <c r="L152" s="31"/>
      <c r="M152" s="13"/>
    </row>
    <row r="153" customFormat="false" ht="24" hidden="false" customHeight="true" outlineLevel="0" collapsed="false">
      <c r="A153" s="22"/>
      <c r="B153" s="33"/>
      <c r="C153" s="33"/>
      <c r="D153" s="33"/>
      <c r="E153" s="33"/>
      <c r="F153" s="34"/>
      <c r="G153" s="33"/>
      <c r="H153" s="29" t="str">
        <f aca="true">IF(I153&lt;&gt;"",I153,IF(F153="","",IF(F153&lt;TODAY(),"— Se pasó",IF(F153=TODAY(),"◷ Pendiente (hoy)","◷ Pendiente"))))</f>
        <v/>
      </c>
      <c r="I153" s="33"/>
      <c r="J153" s="33"/>
      <c r="K153" s="33"/>
      <c r="L153" s="33"/>
      <c r="M153" s="22"/>
    </row>
    <row r="154" customFormat="false" ht="24" hidden="false" customHeight="true" outlineLevel="0" collapsed="false">
      <c r="A154" s="13"/>
      <c r="B154" s="31"/>
      <c r="C154" s="31"/>
      <c r="D154" s="31"/>
      <c r="E154" s="31"/>
      <c r="F154" s="32"/>
      <c r="G154" s="31"/>
      <c r="H154" s="20" t="str">
        <f aca="true">IF(I154&lt;&gt;"",I154,IF(F154="","",IF(F154&lt;TODAY(),"— Se pasó",IF(F154=TODAY(),"◷ Pendiente (hoy)","◷ Pendiente"))))</f>
        <v/>
      </c>
      <c r="I154" s="31"/>
      <c r="J154" s="31"/>
      <c r="K154" s="31"/>
      <c r="L154" s="31"/>
      <c r="M154" s="13"/>
    </row>
    <row r="155" customFormat="false" ht="24" hidden="false" customHeight="true" outlineLevel="0" collapsed="false">
      <c r="A155" s="22"/>
      <c r="B155" s="33"/>
      <c r="C155" s="33"/>
      <c r="D155" s="33"/>
      <c r="E155" s="33"/>
      <c r="F155" s="34"/>
      <c r="G155" s="33"/>
      <c r="H155" s="29" t="str">
        <f aca="true">IF(I155&lt;&gt;"",I155,IF(F155="","",IF(F155&lt;TODAY(),"— Se pasó",IF(F155=TODAY(),"◷ Pendiente (hoy)","◷ Pendiente"))))</f>
        <v/>
      </c>
      <c r="I155" s="33"/>
      <c r="J155" s="33"/>
      <c r="K155" s="33"/>
      <c r="L155" s="33"/>
      <c r="M155" s="22"/>
    </row>
    <row r="156" customFormat="false" ht="24" hidden="false" customHeight="true" outlineLevel="0" collapsed="false">
      <c r="A156" s="13"/>
      <c r="B156" s="31"/>
      <c r="C156" s="31"/>
      <c r="D156" s="31"/>
      <c r="E156" s="31"/>
      <c r="F156" s="32"/>
      <c r="G156" s="31"/>
      <c r="H156" s="20" t="str">
        <f aca="true">IF(I156&lt;&gt;"",I156,IF(F156="","",IF(F156&lt;TODAY(),"— Se pasó",IF(F156=TODAY(),"◷ Pendiente (hoy)","◷ Pendiente"))))</f>
        <v/>
      </c>
      <c r="I156" s="31"/>
      <c r="J156" s="31"/>
      <c r="K156" s="31"/>
      <c r="L156" s="31"/>
      <c r="M156" s="13"/>
    </row>
    <row r="157" customFormat="false" ht="24" hidden="false" customHeight="true" outlineLevel="0" collapsed="false">
      <c r="A157" s="22"/>
      <c r="B157" s="33"/>
      <c r="C157" s="33"/>
      <c r="D157" s="33"/>
      <c r="E157" s="33"/>
      <c r="F157" s="34"/>
      <c r="G157" s="33"/>
      <c r="H157" s="29" t="str">
        <f aca="true">IF(I157&lt;&gt;"",I157,IF(F157="","",IF(F157&lt;TODAY(),"— Se pasó",IF(F157=TODAY(),"◷ Pendiente (hoy)","◷ Pendiente"))))</f>
        <v/>
      </c>
      <c r="I157" s="33"/>
      <c r="J157" s="33"/>
      <c r="K157" s="33"/>
      <c r="L157" s="33"/>
      <c r="M157" s="22"/>
    </row>
    <row r="158" customFormat="false" ht="24" hidden="false" customHeight="true" outlineLevel="0" collapsed="false">
      <c r="A158" s="13"/>
      <c r="B158" s="31"/>
      <c r="C158" s="31"/>
      <c r="D158" s="31"/>
      <c r="E158" s="31"/>
      <c r="F158" s="32"/>
      <c r="G158" s="31"/>
      <c r="H158" s="20" t="str">
        <f aca="true">IF(I158&lt;&gt;"",I158,IF(F158="","",IF(F158&lt;TODAY(),"— Se pasó",IF(F158=TODAY(),"◷ Pendiente (hoy)","◷ Pendiente"))))</f>
        <v/>
      </c>
      <c r="I158" s="31"/>
      <c r="J158" s="31"/>
      <c r="K158" s="31"/>
      <c r="L158" s="31"/>
      <c r="M158" s="13"/>
    </row>
    <row r="159" customFormat="false" ht="24" hidden="false" customHeight="true" outlineLevel="0" collapsed="false">
      <c r="A159" s="22"/>
      <c r="B159" s="33"/>
      <c r="C159" s="33"/>
      <c r="D159" s="33"/>
      <c r="E159" s="33"/>
      <c r="F159" s="34"/>
      <c r="G159" s="33"/>
      <c r="H159" s="29" t="str">
        <f aca="true">IF(I159&lt;&gt;"",I159,IF(F159="","",IF(F159&lt;TODAY(),"— Se pasó",IF(F159=TODAY(),"◷ Pendiente (hoy)","◷ Pendiente"))))</f>
        <v/>
      </c>
      <c r="I159" s="33"/>
      <c r="J159" s="33"/>
      <c r="K159" s="33"/>
      <c r="L159" s="33"/>
      <c r="M159" s="22"/>
    </row>
    <row r="160" customFormat="false" ht="24" hidden="false" customHeight="true" outlineLevel="0" collapsed="false">
      <c r="A160" s="13"/>
      <c r="B160" s="31"/>
      <c r="C160" s="31"/>
      <c r="D160" s="31"/>
      <c r="E160" s="31"/>
      <c r="F160" s="32"/>
      <c r="G160" s="31"/>
      <c r="H160" s="20" t="str">
        <f aca="true">IF(I160&lt;&gt;"",I160,IF(F160="","",IF(F160&lt;TODAY(),"— Se pasó",IF(F160=TODAY(),"◷ Pendiente (hoy)","◷ Pendiente"))))</f>
        <v/>
      </c>
      <c r="I160" s="31"/>
      <c r="J160" s="31"/>
      <c r="K160" s="31"/>
      <c r="L160" s="31"/>
      <c r="M160" s="13"/>
    </row>
    <row r="161" customFormat="false" ht="24" hidden="false" customHeight="true" outlineLevel="0" collapsed="false">
      <c r="A161" s="22"/>
      <c r="B161" s="33"/>
      <c r="C161" s="33"/>
      <c r="D161" s="33"/>
      <c r="E161" s="33"/>
      <c r="F161" s="34"/>
      <c r="G161" s="33"/>
      <c r="H161" s="29" t="str">
        <f aca="true">IF(I161&lt;&gt;"",I161,IF(F161="","",IF(F161&lt;TODAY(),"— Se pasó",IF(F161=TODAY(),"◷ Pendiente (hoy)","◷ Pendiente"))))</f>
        <v/>
      </c>
      <c r="I161" s="33"/>
      <c r="J161" s="33"/>
      <c r="K161" s="33"/>
      <c r="L161" s="33"/>
      <c r="M161" s="22"/>
    </row>
    <row r="162" customFormat="false" ht="24" hidden="false" customHeight="true" outlineLevel="0" collapsed="false">
      <c r="A162" s="13"/>
      <c r="B162" s="31"/>
      <c r="C162" s="31"/>
      <c r="D162" s="31"/>
      <c r="E162" s="31"/>
      <c r="F162" s="32"/>
      <c r="G162" s="31"/>
      <c r="H162" s="20" t="str">
        <f aca="true">IF(I162&lt;&gt;"",I162,IF(F162="","",IF(F162&lt;TODAY(),"— Se pasó",IF(F162=TODAY(),"◷ Pendiente (hoy)","◷ Pendiente"))))</f>
        <v/>
      </c>
      <c r="I162" s="31"/>
      <c r="J162" s="31"/>
      <c r="K162" s="31"/>
      <c r="L162" s="31"/>
      <c r="M162" s="13"/>
    </row>
    <row r="163" customFormat="false" ht="24" hidden="false" customHeight="true" outlineLevel="0" collapsed="false">
      <c r="A163" s="22"/>
      <c r="B163" s="33"/>
      <c r="C163" s="33"/>
      <c r="D163" s="33"/>
      <c r="E163" s="33"/>
      <c r="F163" s="34"/>
      <c r="G163" s="33"/>
      <c r="H163" s="29" t="str">
        <f aca="true">IF(I163&lt;&gt;"",I163,IF(F163="","",IF(F163&lt;TODAY(),"— Se pasó",IF(F163=TODAY(),"◷ Pendiente (hoy)","◷ Pendiente"))))</f>
        <v/>
      </c>
      <c r="I163" s="33"/>
      <c r="J163" s="33"/>
      <c r="K163" s="33"/>
      <c r="L163" s="33"/>
      <c r="M163" s="22"/>
    </row>
    <row r="164" customFormat="false" ht="24" hidden="false" customHeight="true" outlineLevel="0" collapsed="false">
      <c r="A164" s="13"/>
      <c r="B164" s="31"/>
      <c r="C164" s="31"/>
      <c r="D164" s="31"/>
      <c r="E164" s="31"/>
      <c r="F164" s="32"/>
      <c r="G164" s="31"/>
      <c r="H164" s="20" t="str">
        <f aca="true">IF(I164&lt;&gt;"",I164,IF(F164="","",IF(F164&lt;TODAY(),"— Se pasó",IF(F164=TODAY(),"◷ Pendiente (hoy)","◷ Pendiente"))))</f>
        <v/>
      </c>
      <c r="I164" s="31"/>
      <c r="J164" s="31"/>
      <c r="K164" s="31"/>
      <c r="L164" s="31"/>
      <c r="M164" s="13"/>
    </row>
    <row r="165" customFormat="false" ht="24" hidden="false" customHeight="true" outlineLevel="0" collapsed="false">
      <c r="A165" s="22"/>
      <c r="B165" s="33"/>
      <c r="C165" s="33"/>
      <c r="D165" s="33"/>
      <c r="E165" s="33"/>
      <c r="F165" s="34"/>
      <c r="G165" s="33"/>
      <c r="H165" s="29" t="str">
        <f aca="true">IF(I165&lt;&gt;"",I165,IF(F165="","",IF(F165&lt;TODAY(),"— Se pasó",IF(F165=TODAY(),"◷ Pendiente (hoy)","◷ Pendiente"))))</f>
        <v/>
      </c>
      <c r="I165" s="33"/>
      <c r="J165" s="33"/>
      <c r="K165" s="33"/>
      <c r="L165" s="33"/>
      <c r="M165" s="22"/>
    </row>
    <row r="166" customFormat="false" ht="24" hidden="false" customHeight="true" outlineLevel="0" collapsed="false">
      <c r="A166" s="13"/>
      <c r="B166" s="31"/>
      <c r="C166" s="31"/>
      <c r="D166" s="31"/>
      <c r="E166" s="31"/>
      <c r="F166" s="32"/>
      <c r="G166" s="31"/>
      <c r="H166" s="20" t="str">
        <f aca="true">IF(I166&lt;&gt;"",I166,IF(F166="","",IF(F166&lt;TODAY(),"— Se pasó",IF(F166=TODAY(),"◷ Pendiente (hoy)","◷ Pendiente"))))</f>
        <v/>
      </c>
      <c r="I166" s="31"/>
      <c r="J166" s="31"/>
      <c r="K166" s="31"/>
      <c r="L166" s="31"/>
      <c r="M166" s="13"/>
    </row>
    <row r="167" customFormat="false" ht="24" hidden="false" customHeight="true" outlineLevel="0" collapsed="false">
      <c r="A167" s="22"/>
      <c r="B167" s="33"/>
      <c r="C167" s="33"/>
      <c r="D167" s="33"/>
      <c r="E167" s="33"/>
      <c r="F167" s="34"/>
      <c r="G167" s="33"/>
      <c r="H167" s="29" t="str">
        <f aca="true">IF(I167&lt;&gt;"",I167,IF(F167="","",IF(F167&lt;TODAY(),"— Se pasó",IF(F167=TODAY(),"◷ Pendiente (hoy)","◷ Pendiente"))))</f>
        <v/>
      </c>
      <c r="I167" s="33"/>
      <c r="J167" s="33"/>
      <c r="K167" s="33"/>
      <c r="L167" s="33"/>
      <c r="M167" s="22"/>
    </row>
    <row r="168" customFormat="false" ht="24" hidden="false" customHeight="true" outlineLevel="0" collapsed="false">
      <c r="A168" s="13"/>
      <c r="B168" s="31"/>
      <c r="C168" s="31"/>
      <c r="D168" s="31"/>
      <c r="E168" s="31"/>
      <c r="F168" s="32"/>
      <c r="G168" s="31"/>
      <c r="H168" s="20" t="str">
        <f aca="true">IF(I168&lt;&gt;"",I168,IF(F168="","",IF(F168&lt;TODAY(),"— Se pasó",IF(F168=TODAY(),"◷ Pendiente (hoy)","◷ Pendiente"))))</f>
        <v/>
      </c>
      <c r="I168" s="31"/>
      <c r="J168" s="31"/>
      <c r="K168" s="31"/>
      <c r="L168" s="31"/>
      <c r="M168" s="13"/>
    </row>
    <row r="169" customFormat="false" ht="24" hidden="false" customHeight="true" outlineLevel="0" collapsed="false">
      <c r="A169" s="22"/>
      <c r="B169" s="33"/>
      <c r="C169" s="33"/>
      <c r="D169" s="33"/>
      <c r="E169" s="33"/>
      <c r="F169" s="34"/>
      <c r="G169" s="33"/>
      <c r="H169" s="29" t="str">
        <f aca="true">IF(I169&lt;&gt;"",I169,IF(F169="","",IF(F169&lt;TODAY(),"— Se pasó",IF(F169=TODAY(),"◷ Pendiente (hoy)","◷ Pendiente"))))</f>
        <v/>
      </c>
      <c r="I169" s="33"/>
      <c r="J169" s="33"/>
      <c r="K169" s="33"/>
      <c r="L169" s="33"/>
      <c r="M169" s="22"/>
    </row>
    <row r="170" customFormat="false" ht="24" hidden="false" customHeight="true" outlineLevel="0" collapsed="false">
      <c r="A170" s="13"/>
      <c r="B170" s="31"/>
      <c r="C170" s="31"/>
      <c r="D170" s="31"/>
      <c r="E170" s="31"/>
      <c r="F170" s="32"/>
      <c r="G170" s="31"/>
      <c r="H170" s="20" t="str">
        <f aca="true">IF(I170&lt;&gt;"",I170,IF(F170="","",IF(F170&lt;TODAY(),"— Se pasó",IF(F170=TODAY(),"◷ Pendiente (hoy)","◷ Pendiente"))))</f>
        <v/>
      </c>
      <c r="I170" s="31"/>
      <c r="J170" s="31"/>
      <c r="K170" s="31"/>
      <c r="L170" s="31"/>
      <c r="M170" s="13"/>
    </row>
    <row r="171" customFormat="false" ht="24" hidden="false" customHeight="true" outlineLevel="0" collapsed="false">
      <c r="A171" s="22"/>
      <c r="B171" s="33"/>
      <c r="C171" s="33"/>
      <c r="D171" s="33"/>
      <c r="E171" s="33"/>
      <c r="F171" s="34"/>
      <c r="G171" s="33"/>
      <c r="H171" s="29" t="str">
        <f aca="true">IF(I171&lt;&gt;"",I171,IF(F171="","",IF(F171&lt;TODAY(),"— Se pasó",IF(F171=TODAY(),"◷ Pendiente (hoy)","◷ Pendiente"))))</f>
        <v/>
      </c>
      <c r="I171" s="33"/>
      <c r="J171" s="33"/>
      <c r="K171" s="33"/>
      <c r="L171" s="33"/>
      <c r="M171" s="22"/>
    </row>
    <row r="172" customFormat="false" ht="24" hidden="false" customHeight="true" outlineLevel="0" collapsed="false">
      <c r="A172" s="13"/>
      <c r="B172" s="31"/>
      <c r="C172" s="31"/>
      <c r="D172" s="31"/>
      <c r="E172" s="31"/>
      <c r="F172" s="32"/>
      <c r="G172" s="31"/>
      <c r="H172" s="20" t="str">
        <f aca="true">IF(I172&lt;&gt;"",I172,IF(F172="","",IF(F172&lt;TODAY(),"— Se pasó",IF(F172=TODAY(),"◷ Pendiente (hoy)","◷ Pendiente"))))</f>
        <v/>
      </c>
      <c r="I172" s="31"/>
      <c r="J172" s="31"/>
      <c r="K172" s="31"/>
      <c r="L172" s="31"/>
      <c r="M172" s="13"/>
    </row>
    <row r="173" customFormat="false" ht="24" hidden="false" customHeight="true" outlineLevel="0" collapsed="false">
      <c r="A173" s="22"/>
      <c r="B173" s="33"/>
      <c r="C173" s="33"/>
      <c r="D173" s="33"/>
      <c r="E173" s="33"/>
      <c r="F173" s="34"/>
      <c r="G173" s="33"/>
      <c r="H173" s="29" t="str">
        <f aca="true">IF(I173&lt;&gt;"",I173,IF(F173="","",IF(F173&lt;TODAY(),"— Se pasó",IF(F173=TODAY(),"◷ Pendiente (hoy)","◷ Pendiente"))))</f>
        <v/>
      </c>
      <c r="I173" s="33"/>
      <c r="J173" s="33"/>
      <c r="K173" s="33"/>
      <c r="L173" s="33"/>
      <c r="M173" s="22"/>
    </row>
    <row r="174" customFormat="false" ht="24" hidden="false" customHeight="true" outlineLevel="0" collapsed="false">
      <c r="A174" s="13"/>
      <c r="B174" s="31"/>
      <c r="C174" s="31"/>
      <c r="D174" s="31"/>
      <c r="E174" s="31"/>
      <c r="F174" s="32"/>
      <c r="G174" s="31"/>
      <c r="H174" s="20" t="str">
        <f aca="true">IF(I174&lt;&gt;"",I174,IF(F174="","",IF(F174&lt;TODAY(),"— Se pasó",IF(F174=TODAY(),"◷ Pendiente (hoy)","◷ Pendiente"))))</f>
        <v/>
      </c>
      <c r="I174" s="31"/>
      <c r="J174" s="31"/>
      <c r="K174" s="31"/>
      <c r="L174" s="31"/>
      <c r="M174" s="13"/>
    </row>
    <row r="175" customFormat="false" ht="24" hidden="false" customHeight="true" outlineLevel="0" collapsed="false">
      <c r="A175" s="22"/>
      <c r="B175" s="33"/>
      <c r="C175" s="33"/>
      <c r="D175" s="33"/>
      <c r="E175" s="33"/>
      <c r="F175" s="34"/>
      <c r="G175" s="33"/>
      <c r="H175" s="29" t="str">
        <f aca="true">IF(I175&lt;&gt;"",I175,IF(F175="","",IF(F175&lt;TODAY(),"— Se pasó",IF(F175=TODAY(),"◷ Pendiente (hoy)","◷ Pendiente"))))</f>
        <v/>
      </c>
      <c r="I175" s="33"/>
      <c r="J175" s="33"/>
      <c r="K175" s="33"/>
      <c r="L175" s="33"/>
      <c r="M175" s="22"/>
    </row>
    <row r="176" customFormat="false" ht="24" hidden="false" customHeight="true" outlineLevel="0" collapsed="false">
      <c r="A176" s="13"/>
      <c r="B176" s="31"/>
      <c r="C176" s="31"/>
      <c r="D176" s="31"/>
      <c r="E176" s="31"/>
      <c r="F176" s="32"/>
      <c r="G176" s="31"/>
      <c r="H176" s="20" t="str">
        <f aca="true">IF(I176&lt;&gt;"",I176,IF(F176="","",IF(F176&lt;TODAY(),"— Se pasó",IF(F176=TODAY(),"◷ Pendiente (hoy)","◷ Pendiente"))))</f>
        <v/>
      </c>
      <c r="I176" s="31"/>
      <c r="J176" s="31"/>
      <c r="K176" s="31"/>
      <c r="L176" s="31"/>
      <c r="M176" s="13"/>
    </row>
    <row r="177" customFormat="false" ht="24" hidden="false" customHeight="true" outlineLevel="0" collapsed="false">
      <c r="A177" s="22"/>
      <c r="B177" s="33"/>
      <c r="C177" s="33"/>
      <c r="D177" s="33"/>
      <c r="E177" s="33"/>
      <c r="F177" s="34"/>
      <c r="G177" s="33"/>
      <c r="H177" s="29" t="str">
        <f aca="true">IF(I177&lt;&gt;"",I177,IF(F177="","",IF(F177&lt;TODAY(),"— Se pasó",IF(F177=TODAY(),"◷ Pendiente (hoy)","◷ Pendiente"))))</f>
        <v/>
      </c>
      <c r="I177" s="33"/>
      <c r="J177" s="33"/>
      <c r="K177" s="33"/>
      <c r="L177" s="33"/>
      <c r="M177" s="22"/>
    </row>
    <row r="178" customFormat="false" ht="24" hidden="false" customHeight="true" outlineLevel="0" collapsed="false">
      <c r="A178" s="13"/>
      <c r="B178" s="31"/>
      <c r="C178" s="31"/>
      <c r="D178" s="31"/>
      <c r="E178" s="31"/>
      <c r="F178" s="32"/>
      <c r="G178" s="31"/>
      <c r="H178" s="20" t="str">
        <f aca="true">IF(I178&lt;&gt;"",I178,IF(F178="","",IF(F178&lt;TODAY(),"— Se pasó",IF(F178=TODAY(),"◷ Pendiente (hoy)","◷ Pendiente"))))</f>
        <v/>
      </c>
      <c r="I178" s="31"/>
      <c r="J178" s="31"/>
      <c r="K178" s="31"/>
      <c r="L178" s="31"/>
      <c r="M178" s="13"/>
    </row>
    <row r="179" customFormat="false" ht="24" hidden="false" customHeight="true" outlineLevel="0" collapsed="false">
      <c r="A179" s="22"/>
      <c r="B179" s="33"/>
      <c r="C179" s="33"/>
      <c r="D179" s="33"/>
      <c r="E179" s="33"/>
      <c r="F179" s="34"/>
      <c r="G179" s="33"/>
      <c r="H179" s="29" t="str">
        <f aca="true">IF(I179&lt;&gt;"",I179,IF(F179="","",IF(F179&lt;TODAY(),"— Se pasó",IF(F179=TODAY(),"◷ Pendiente (hoy)","◷ Pendiente"))))</f>
        <v/>
      </c>
      <c r="I179" s="33"/>
      <c r="J179" s="33"/>
      <c r="K179" s="33"/>
      <c r="L179" s="33"/>
      <c r="M179" s="22"/>
    </row>
    <row r="180" customFormat="false" ht="24" hidden="false" customHeight="true" outlineLevel="0" collapsed="false">
      <c r="A180" s="13"/>
      <c r="B180" s="31"/>
      <c r="C180" s="31"/>
      <c r="D180" s="31"/>
      <c r="E180" s="31"/>
      <c r="F180" s="32"/>
      <c r="G180" s="31"/>
      <c r="H180" s="20" t="str">
        <f aca="true">IF(I180&lt;&gt;"",I180,IF(F180="","",IF(F180&lt;TODAY(),"— Se pasó",IF(F180=TODAY(),"◷ Pendiente (hoy)","◷ Pendiente"))))</f>
        <v/>
      </c>
      <c r="I180" s="31"/>
      <c r="J180" s="31"/>
      <c r="K180" s="31"/>
      <c r="L180" s="31"/>
      <c r="M180" s="13"/>
    </row>
    <row r="181" customFormat="false" ht="24" hidden="false" customHeight="true" outlineLevel="0" collapsed="false">
      <c r="A181" s="22"/>
      <c r="B181" s="33"/>
      <c r="C181" s="33"/>
      <c r="D181" s="33"/>
      <c r="E181" s="33"/>
      <c r="F181" s="34"/>
      <c r="G181" s="33"/>
      <c r="H181" s="29" t="str">
        <f aca="true">IF(I181&lt;&gt;"",I181,IF(F181="","",IF(F181&lt;TODAY(),"— Se pasó",IF(F181=TODAY(),"◷ Pendiente (hoy)","◷ Pendiente"))))</f>
        <v/>
      </c>
      <c r="I181" s="33"/>
      <c r="J181" s="33"/>
      <c r="K181" s="33"/>
      <c r="L181" s="33"/>
      <c r="M181" s="22"/>
    </row>
    <row r="182" customFormat="false" ht="24" hidden="false" customHeight="true" outlineLevel="0" collapsed="false">
      <c r="A182" s="13"/>
      <c r="B182" s="31"/>
      <c r="C182" s="31"/>
      <c r="D182" s="31"/>
      <c r="E182" s="31"/>
      <c r="F182" s="32"/>
      <c r="G182" s="31"/>
      <c r="H182" s="20" t="str">
        <f aca="true">IF(I182&lt;&gt;"",I182,IF(F182="","",IF(F182&lt;TODAY(),"— Se pasó",IF(F182=TODAY(),"◷ Pendiente (hoy)","◷ Pendiente"))))</f>
        <v/>
      </c>
      <c r="I182" s="31"/>
      <c r="J182" s="31"/>
      <c r="K182" s="31"/>
      <c r="L182" s="31"/>
      <c r="M182" s="13"/>
    </row>
    <row r="183" customFormat="false" ht="24" hidden="false" customHeight="true" outlineLevel="0" collapsed="false">
      <c r="A183" s="22"/>
      <c r="B183" s="33"/>
      <c r="C183" s="33"/>
      <c r="D183" s="33"/>
      <c r="E183" s="33"/>
      <c r="F183" s="34"/>
      <c r="G183" s="33"/>
      <c r="H183" s="29" t="str">
        <f aca="true">IF(I183&lt;&gt;"",I183,IF(F183="","",IF(F183&lt;TODAY(),"— Se pasó",IF(F183=TODAY(),"◷ Pendiente (hoy)","◷ Pendiente"))))</f>
        <v/>
      </c>
      <c r="I183" s="33"/>
      <c r="J183" s="33"/>
      <c r="K183" s="33"/>
      <c r="L183" s="33"/>
      <c r="M183" s="22"/>
    </row>
    <row r="184" customFormat="false" ht="24" hidden="false" customHeight="true" outlineLevel="0" collapsed="false">
      <c r="A184" s="13"/>
      <c r="B184" s="31"/>
      <c r="C184" s="31"/>
      <c r="D184" s="31"/>
      <c r="E184" s="31"/>
      <c r="F184" s="32"/>
      <c r="G184" s="31"/>
      <c r="H184" s="20" t="str">
        <f aca="true">IF(I184&lt;&gt;"",I184,IF(F184="","",IF(F184&lt;TODAY(),"— Se pasó",IF(F184=TODAY(),"◷ Pendiente (hoy)","◷ Pendiente"))))</f>
        <v/>
      </c>
      <c r="I184" s="31"/>
      <c r="J184" s="31"/>
      <c r="K184" s="31"/>
      <c r="L184" s="31"/>
      <c r="M184" s="13"/>
    </row>
    <row r="185" customFormat="false" ht="24" hidden="false" customHeight="true" outlineLevel="0" collapsed="false">
      <c r="A185" s="22"/>
      <c r="B185" s="33"/>
      <c r="C185" s="33"/>
      <c r="D185" s="33"/>
      <c r="E185" s="33"/>
      <c r="F185" s="34"/>
      <c r="G185" s="33"/>
      <c r="H185" s="29" t="str">
        <f aca="true">IF(I185&lt;&gt;"",I185,IF(F185="","",IF(F185&lt;TODAY(),"— Se pasó",IF(F185=TODAY(),"◷ Pendiente (hoy)","◷ Pendiente"))))</f>
        <v/>
      </c>
      <c r="I185" s="33"/>
      <c r="J185" s="33"/>
      <c r="K185" s="33"/>
      <c r="L185" s="33"/>
      <c r="M185" s="22"/>
    </row>
    <row r="186" customFormat="false" ht="24" hidden="false" customHeight="true" outlineLevel="0" collapsed="false">
      <c r="A186" s="13"/>
      <c r="B186" s="31"/>
      <c r="C186" s="31"/>
      <c r="D186" s="31"/>
      <c r="E186" s="31"/>
      <c r="F186" s="32"/>
      <c r="G186" s="31"/>
      <c r="H186" s="20" t="str">
        <f aca="true">IF(I186&lt;&gt;"",I186,IF(F186="","",IF(F186&lt;TODAY(),"— Se pasó",IF(F186=TODAY(),"◷ Pendiente (hoy)","◷ Pendiente"))))</f>
        <v/>
      </c>
      <c r="I186" s="31"/>
      <c r="J186" s="31"/>
      <c r="K186" s="31"/>
      <c r="L186" s="31"/>
      <c r="M186" s="13"/>
    </row>
    <row r="187" customFormat="false" ht="24" hidden="false" customHeight="true" outlineLevel="0" collapsed="false">
      <c r="A187" s="22"/>
      <c r="B187" s="33"/>
      <c r="C187" s="33"/>
      <c r="D187" s="33"/>
      <c r="E187" s="33"/>
      <c r="F187" s="34"/>
      <c r="G187" s="33"/>
      <c r="H187" s="29" t="str">
        <f aca="true">IF(I187&lt;&gt;"",I187,IF(F187="","",IF(F187&lt;TODAY(),"— Se pasó",IF(F187=TODAY(),"◷ Pendiente (hoy)","◷ Pendiente"))))</f>
        <v/>
      </c>
      <c r="I187" s="33"/>
      <c r="J187" s="33"/>
      <c r="K187" s="33"/>
      <c r="L187" s="33"/>
      <c r="M187" s="22"/>
    </row>
    <row r="188" customFormat="false" ht="24" hidden="false" customHeight="true" outlineLevel="0" collapsed="false">
      <c r="A188" s="13"/>
      <c r="B188" s="31"/>
      <c r="C188" s="31"/>
      <c r="D188" s="31"/>
      <c r="E188" s="31"/>
      <c r="F188" s="32"/>
      <c r="G188" s="31"/>
      <c r="H188" s="20" t="str">
        <f aca="true">IF(I188&lt;&gt;"",I188,IF(F188="","",IF(F188&lt;TODAY(),"— Se pasó",IF(F188=TODAY(),"◷ Pendiente (hoy)","◷ Pendiente"))))</f>
        <v/>
      </c>
      <c r="I188" s="31"/>
      <c r="J188" s="31"/>
      <c r="K188" s="31"/>
      <c r="L188" s="31"/>
      <c r="M188" s="13"/>
    </row>
    <row r="189" customFormat="false" ht="24" hidden="false" customHeight="true" outlineLevel="0" collapsed="false">
      <c r="A189" s="22"/>
      <c r="B189" s="33"/>
      <c r="C189" s="33"/>
      <c r="D189" s="33"/>
      <c r="E189" s="33"/>
      <c r="F189" s="34"/>
      <c r="G189" s="33"/>
      <c r="H189" s="29" t="str">
        <f aca="true">IF(I189&lt;&gt;"",I189,IF(F189="","",IF(F189&lt;TODAY(),"— Se pasó",IF(F189=TODAY(),"◷ Pendiente (hoy)","◷ Pendiente"))))</f>
        <v/>
      </c>
      <c r="I189" s="33"/>
      <c r="J189" s="33"/>
      <c r="K189" s="33"/>
      <c r="L189" s="33"/>
      <c r="M189" s="22"/>
    </row>
    <row r="190" customFormat="false" ht="24" hidden="false" customHeight="true" outlineLevel="0" collapsed="false">
      <c r="A190" s="13"/>
      <c r="B190" s="31"/>
      <c r="C190" s="31"/>
      <c r="D190" s="31"/>
      <c r="E190" s="31"/>
      <c r="F190" s="32"/>
      <c r="G190" s="31"/>
      <c r="H190" s="20" t="str">
        <f aca="true">IF(I190&lt;&gt;"",I190,IF(F190="","",IF(F190&lt;TODAY(),"— Se pasó",IF(F190=TODAY(),"◷ Pendiente (hoy)","◷ Pendiente"))))</f>
        <v/>
      </c>
      <c r="I190" s="31"/>
      <c r="J190" s="31"/>
      <c r="K190" s="31"/>
      <c r="L190" s="31"/>
      <c r="M190" s="13"/>
    </row>
    <row r="191" customFormat="false" ht="24" hidden="false" customHeight="true" outlineLevel="0" collapsed="false">
      <c r="A191" s="22"/>
      <c r="B191" s="33"/>
      <c r="C191" s="33"/>
      <c r="D191" s="33"/>
      <c r="E191" s="33"/>
      <c r="F191" s="34"/>
      <c r="G191" s="33"/>
      <c r="H191" s="29" t="str">
        <f aca="true">IF(I191&lt;&gt;"",I191,IF(F191="","",IF(F191&lt;TODAY(),"— Se pasó",IF(F191=TODAY(),"◷ Pendiente (hoy)","◷ Pendiente"))))</f>
        <v/>
      </c>
      <c r="I191" s="33"/>
      <c r="J191" s="33"/>
      <c r="K191" s="33"/>
      <c r="L191" s="33"/>
      <c r="M191" s="22"/>
    </row>
    <row r="192" customFormat="false" ht="24" hidden="false" customHeight="true" outlineLevel="0" collapsed="false">
      <c r="A192" s="13"/>
      <c r="B192" s="31"/>
      <c r="C192" s="31"/>
      <c r="D192" s="31"/>
      <c r="E192" s="31"/>
      <c r="F192" s="32"/>
      <c r="G192" s="31"/>
      <c r="H192" s="20" t="str">
        <f aca="true">IF(I192&lt;&gt;"",I192,IF(F192="","",IF(F192&lt;TODAY(),"— Se pasó",IF(F192=TODAY(),"◷ Pendiente (hoy)","◷ Pendiente"))))</f>
        <v/>
      </c>
      <c r="I192" s="31"/>
      <c r="J192" s="31"/>
      <c r="K192" s="31"/>
      <c r="L192" s="31"/>
      <c r="M192" s="13"/>
    </row>
    <row r="193" customFormat="false" ht="24" hidden="false" customHeight="true" outlineLevel="0" collapsed="false">
      <c r="A193" s="22"/>
      <c r="B193" s="33"/>
      <c r="C193" s="33"/>
      <c r="D193" s="33"/>
      <c r="E193" s="33"/>
      <c r="F193" s="34"/>
      <c r="G193" s="33"/>
      <c r="H193" s="29" t="str">
        <f aca="true">IF(I193&lt;&gt;"",I193,IF(F193="","",IF(F193&lt;TODAY(),"— Se pasó",IF(F193=TODAY(),"◷ Pendiente (hoy)","◷ Pendiente"))))</f>
        <v/>
      </c>
      <c r="I193" s="33"/>
      <c r="J193" s="33"/>
      <c r="K193" s="33"/>
      <c r="L193" s="33"/>
      <c r="M193" s="22"/>
    </row>
    <row r="194" customFormat="false" ht="24" hidden="false" customHeight="true" outlineLevel="0" collapsed="false">
      <c r="A194" s="13"/>
      <c r="B194" s="31"/>
      <c r="C194" s="31"/>
      <c r="D194" s="31"/>
      <c r="E194" s="31"/>
      <c r="F194" s="32"/>
      <c r="G194" s="31"/>
      <c r="H194" s="20" t="str">
        <f aca="true">IF(I194&lt;&gt;"",I194,IF(F194="","",IF(F194&lt;TODAY(),"— Se pasó",IF(F194=TODAY(),"◷ Pendiente (hoy)","◷ Pendiente"))))</f>
        <v/>
      </c>
      <c r="I194" s="31"/>
      <c r="J194" s="31"/>
      <c r="K194" s="31"/>
      <c r="L194" s="31"/>
      <c r="M194" s="13"/>
    </row>
    <row r="195" customFormat="false" ht="24" hidden="false" customHeight="true" outlineLevel="0" collapsed="false">
      <c r="A195" s="22"/>
      <c r="B195" s="33"/>
      <c r="C195" s="33"/>
      <c r="D195" s="33"/>
      <c r="E195" s="33"/>
      <c r="F195" s="34"/>
      <c r="G195" s="33"/>
      <c r="H195" s="29" t="str">
        <f aca="true">IF(I195&lt;&gt;"",I195,IF(F195="","",IF(F195&lt;TODAY(),"— Se pasó",IF(F195=TODAY(),"◷ Pendiente (hoy)","◷ Pendiente"))))</f>
        <v/>
      </c>
      <c r="I195" s="33"/>
      <c r="J195" s="33"/>
      <c r="K195" s="33"/>
      <c r="L195" s="33"/>
      <c r="M195" s="22"/>
    </row>
    <row r="196" customFormat="false" ht="24" hidden="false" customHeight="true" outlineLevel="0" collapsed="false">
      <c r="A196" s="13"/>
      <c r="B196" s="31"/>
      <c r="C196" s="31"/>
      <c r="D196" s="31"/>
      <c r="E196" s="31"/>
      <c r="F196" s="32"/>
      <c r="G196" s="31"/>
      <c r="H196" s="20" t="str">
        <f aca="true">IF(I196&lt;&gt;"",I196,IF(F196="","",IF(F196&lt;TODAY(),"— Se pasó",IF(F196=TODAY(),"◷ Pendiente (hoy)","◷ Pendiente"))))</f>
        <v/>
      </c>
      <c r="I196" s="31"/>
      <c r="J196" s="31"/>
      <c r="K196" s="31"/>
      <c r="L196" s="31"/>
      <c r="M196" s="13"/>
    </row>
    <row r="197" customFormat="false" ht="24" hidden="false" customHeight="true" outlineLevel="0" collapsed="false">
      <c r="A197" s="22"/>
      <c r="B197" s="33"/>
      <c r="C197" s="33"/>
      <c r="D197" s="33"/>
      <c r="E197" s="33"/>
      <c r="F197" s="34"/>
      <c r="G197" s="33"/>
      <c r="H197" s="29" t="str">
        <f aca="true">IF(I197&lt;&gt;"",I197,IF(F197="","",IF(F197&lt;TODAY(),"— Se pasó",IF(F197=TODAY(),"◷ Pendiente (hoy)","◷ Pendiente"))))</f>
        <v/>
      </c>
      <c r="I197" s="33"/>
      <c r="J197" s="33"/>
      <c r="K197" s="33"/>
      <c r="L197" s="33"/>
      <c r="M197" s="22"/>
    </row>
    <row r="198" customFormat="false" ht="24" hidden="false" customHeight="true" outlineLevel="0" collapsed="false">
      <c r="A198" s="13"/>
      <c r="B198" s="31"/>
      <c r="C198" s="31"/>
      <c r="D198" s="31"/>
      <c r="E198" s="31"/>
      <c r="F198" s="32"/>
      <c r="G198" s="31"/>
      <c r="H198" s="20" t="str">
        <f aca="true">IF(I198&lt;&gt;"",I198,IF(F198="","",IF(F198&lt;TODAY(),"— Se pasó",IF(F198=TODAY(),"◷ Pendiente (hoy)","◷ Pendiente"))))</f>
        <v/>
      </c>
      <c r="I198" s="31"/>
      <c r="J198" s="31"/>
      <c r="K198" s="31"/>
      <c r="L198" s="31"/>
      <c r="M198" s="13"/>
    </row>
    <row r="199" customFormat="false" ht="24" hidden="false" customHeight="true" outlineLevel="0" collapsed="false">
      <c r="A199" s="22"/>
      <c r="B199" s="33"/>
      <c r="C199" s="33"/>
      <c r="D199" s="33"/>
      <c r="E199" s="33"/>
      <c r="F199" s="34"/>
      <c r="G199" s="33"/>
      <c r="H199" s="29" t="str">
        <f aca="true">IF(I199&lt;&gt;"",I199,IF(F199="","",IF(F199&lt;TODAY(),"— Se pasó",IF(F199=TODAY(),"◷ Pendiente (hoy)","◷ Pendiente"))))</f>
        <v/>
      </c>
      <c r="I199" s="33"/>
      <c r="J199" s="33"/>
      <c r="K199" s="33"/>
      <c r="L199" s="33"/>
      <c r="M199" s="22"/>
    </row>
    <row r="200" customFormat="false" ht="24" hidden="false" customHeight="true" outlineLevel="0" collapsed="false">
      <c r="A200" s="13"/>
      <c r="B200" s="31"/>
      <c r="C200" s="31"/>
      <c r="D200" s="31"/>
      <c r="E200" s="31"/>
      <c r="F200" s="32"/>
      <c r="G200" s="31"/>
      <c r="H200" s="20" t="str">
        <f aca="true">IF(I200&lt;&gt;"",I200,IF(F200="","",IF(F200&lt;TODAY(),"— Se pasó",IF(F200=TODAY(),"◷ Pendiente (hoy)","◷ Pendiente"))))</f>
        <v/>
      </c>
      <c r="I200" s="31"/>
      <c r="J200" s="31"/>
      <c r="K200" s="31"/>
      <c r="L200" s="31"/>
      <c r="M200" s="13"/>
    </row>
  </sheetData>
  <mergeCells count="8">
    <mergeCell ref="B2:M2"/>
    <mergeCell ref="B3:M3"/>
    <mergeCell ref="B5:C5"/>
    <mergeCell ref="D5:E5"/>
    <mergeCell ref="F5:G5"/>
    <mergeCell ref="H5:I5"/>
    <mergeCell ref="J5:K5"/>
    <mergeCell ref="L5:M5"/>
  </mergeCells>
  <conditionalFormatting sqref="B10:L200">
    <cfRule type="expression" priority="2" aboveAverage="0" equalAverage="0" bottom="0" percent="0" rank="0" text="" dxfId="0">
      <formula>$H10="✔ Atendido"</formula>
    </cfRule>
    <cfRule type="expression" priority="3" aboveAverage="0" equalAverage="0" bottom="0" percent="0" rank="0" text="" dxfId="1">
      <formula>$H10="✘ No asistió"</formula>
    </cfRule>
    <cfRule type="expression" priority="4" aboveAverage="0" equalAverage="0" bottom="0" percent="0" rank="0" text="" dxfId="2">
      <formula>$H10="— Se pasó"</formula>
    </cfRule>
    <cfRule type="expression" priority="5" aboveAverage="0" equalAverage="0" bottom="0" percent="0" rank="0" text="" dxfId="3">
      <formula>LEFT($H10,1)="◷"</formula>
    </cfRule>
  </conditionalFormatting>
  <conditionalFormatting sqref="H10:H200">
    <cfRule type="expression" priority="6" aboveAverage="0" equalAverage="0" bottom="0" percent="0" rank="0" text="" dxfId="4">
      <formula>$H10="✔ Atendido"</formula>
    </cfRule>
    <cfRule type="expression" priority="7" aboveAverage="0" equalAverage="0" bottom="0" percent="0" rank="0" text="" dxfId="5">
      <formula>$H10="✘ No asistió"</formula>
    </cfRule>
    <cfRule type="expression" priority="8" aboveAverage="0" equalAverage="0" bottom="0" percent="0" rank="0" text="" dxfId="6">
      <formula>$H10="— Se pasó"</formula>
    </cfRule>
    <cfRule type="expression" priority="9" aboveAverage="0" equalAverage="0" bottom="0" percent="0" rank="0" text="" dxfId="7">
      <formula>LEFT($H10,1)="◷"</formula>
    </cfRule>
  </conditionalFormatting>
  <dataValidations count="1">
    <dataValidation allowBlank="true" error="Seleccioná una opción válida del menú" errorStyle="stop" errorTitle="Valor inválido" operator="between" showDropDown="false" showErrorMessage="true" showInputMessage="false" sqref="I10:I200" type="list">
      <formula1>"✔ Atendido,✘ No asistió,— Se pasó"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C8CFF"/>
    <pageSetUpPr fitToPage="false"/>
  </sheetPr>
  <dimension ref="A1:H49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22"/>
    <col collapsed="false" customWidth="true" hidden="false" outlineLevel="0" max="8" min="8" style="0" width="10"/>
    <col collapsed="false" customWidth="true" hidden="false" outlineLevel="0" max="9" min="9" style="0" width="2.5"/>
  </cols>
  <sheetData>
    <row r="1" customFormat="false" ht="7.5" hidden="false" customHeight="true" outlineLevel="0" collapsed="false">
      <c r="A1" s="1"/>
    </row>
    <row r="2" customFormat="false" ht="51.75" hidden="false" customHeight="true" outlineLevel="0" collapsed="false">
      <c r="A2" s="1"/>
      <c r="B2" s="35" t="s">
        <v>67</v>
      </c>
      <c r="C2" s="35"/>
      <c r="D2" s="35"/>
      <c r="E2" s="35"/>
      <c r="F2" s="35"/>
      <c r="G2" s="35"/>
      <c r="H2" s="35"/>
    </row>
    <row r="3" customFormat="false" ht="21.75" hidden="false" customHeight="true" outlineLevel="0" collapsed="false">
      <c r="A3" s="1"/>
      <c r="B3" s="3" t="s">
        <v>68</v>
      </c>
      <c r="C3" s="3"/>
      <c r="D3" s="3"/>
      <c r="E3" s="3"/>
      <c r="F3" s="3"/>
      <c r="G3" s="3"/>
      <c r="H3" s="3"/>
    </row>
    <row r="4" customFormat="false" ht="3.75" hidden="false" customHeight="tru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30" hidden="false" customHeight="true" outlineLevel="0" collapsed="false">
      <c r="A5" s="4"/>
      <c r="B5" s="36" t="s">
        <v>7</v>
      </c>
      <c r="C5" s="36" t="s">
        <v>69</v>
      </c>
      <c r="D5" s="36" t="s">
        <v>10</v>
      </c>
      <c r="E5" s="36" t="s">
        <v>70</v>
      </c>
      <c r="F5" s="36" t="s">
        <v>16</v>
      </c>
      <c r="G5" s="36" t="s">
        <v>71</v>
      </c>
      <c r="H5" s="36" t="s">
        <v>72</v>
      </c>
    </row>
    <row r="6" customFormat="false" ht="1.5" hidden="false" customHeight="tru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25.5" hidden="false" customHeight="true" outlineLevel="0" collapsed="false">
      <c r="A7" s="13"/>
      <c r="B7" s="19" t="n">
        <v>1</v>
      </c>
      <c r="C7" s="37" t="s">
        <v>19</v>
      </c>
      <c r="D7" s="38" t="s">
        <v>20</v>
      </c>
      <c r="E7" s="38" t="s">
        <v>73</v>
      </c>
      <c r="F7" s="38" t="s">
        <v>74</v>
      </c>
      <c r="G7" s="38" t="s">
        <v>75</v>
      </c>
      <c r="H7" s="39" t="s">
        <v>76</v>
      </c>
    </row>
    <row r="8" customFormat="false" ht="25.5" hidden="false" customHeight="true" outlineLevel="0" collapsed="false">
      <c r="A8" s="22"/>
      <c r="B8" s="28" t="n">
        <v>2</v>
      </c>
      <c r="C8" s="40" t="s">
        <v>27</v>
      </c>
      <c r="D8" s="41" t="s">
        <v>28</v>
      </c>
      <c r="E8" s="41" t="s">
        <v>77</v>
      </c>
      <c r="F8" s="41" t="s">
        <v>78</v>
      </c>
      <c r="G8" s="41" t="s">
        <v>79</v>
      </c>
      <c r="H8" s="42" t="s">
        <v>76</v>
      </c>
    </row>
    <row r="9" customFormat="false" ht="25.5" hidden="false" customHeight="true" outlineLevel="0" collapsed="false">
      <c r="A9" s="13"/>
      <c r="B9" s="19" t="n">
        <v>3</v>
      </c>
      <c r="C9" s="37" t="s">
        <v>40</v>
      </c>
      <c r="D9" s="38" t="s">
        <v>41</v>
      </c>
      <c r="E9" s="38" t="s">
        <v>80</v>
      </c>
      <c r="F9" s="38" t="s">
        <v>81</v>
      </c>
      <c r="G9" s="38" t="s">
        <v>82</v>
      </c>
      <c r="H9" s="39" t="s">
        <v>76</v>
      </c>
    </row>
    <row r="10" customFormat="false" ht="25.5" hidden="false" customHeight="true" outlineLevel="0" collapsed="false">
      <c r="A10" s="22"/>
      <c r="B10" s="28" t="n">
        <v>4</v>
      </c>
      <c r="C10" s="40" t="s">
        <v>52</v>
      </c>
      <c r="D10" s="41" t="s">
        <v>53</v>
      </c>
      <c r="E10" s="41" t="s">
        <v>83</v>
      </c>
      <c r="F10" s="41" t="s">
        <v>84</v>
      </c>
      <c r="G10" s="41" t="s">
        <v>85</v>
      </c>
      <c r="H10" s="42" t="s">
        <v>76</v>
      </c>
    </row>
    <row r="11" customFormat="false" ht="24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</row>
    <row r="12" customFormat="false" ht="24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</row>
    <row r="13" customFormat="false" ht="24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</row>
    <row r="14" customFormat="false" ht="24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</row>
    <row r="15" customFormat="false" ht="24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</row>
    <row r="16" customFormat="false" ht="24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</row>
    <row r="17" customFormat="false" ht="24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</row>
    <row r="18" customFormat="false" ht="24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</row>
    <row r="19" customFormat="false" ht="24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</row>
    <row r="20" customFormat="false" ht="24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</row>
    <row r="21" customFormat="false" ht="24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</row>
    <row r="22" customFormat="false" ht="24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</row>
    <row r="23" customFormat="false" ht="24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</row>
    <row r="24" customFormat="false" ht="24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</row>
    <row r="25" customFormat="false" ht="24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</row>
    <row r="26" customFormat="false" ht="24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</row>
    <row r="27" customFormat="false" ht="24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</row>
    <row r="28" customFormat="false" ht="24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</row>
    <row r="29" customFormat="false" ht="24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</row>
    <row r="30" customFormat="false" ht="24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</row>
    <row r="31" customFormat="false" ht="24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</row>
    <row r="32" customFormat="false" ht="24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</row>
    <row r="33" customFormat="false" ht="24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</row>
    <row r="34" customFormat="false" ht="24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</row>
    <row r="35" customFormat="false" ht="24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</row>
    <row r="36" customFormat="false" ht="24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</row>
    <row r="37" customFormat="false" ht="24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</row>
    <row r="38" customFormat="false" ht="24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</row>
    <row r="39" customFormat="false" ht="24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</row>
    <row r="40" customFormat="false" ht="24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</row>
    <row r="41" customFormat="false" ht="24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</row>
    <row r="42" customFormat="false" ht="24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</row>
    <row r="43" customFormat="false" ht="24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</row>
    <row r="44" customFormat="false" ht="24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</row>
    <row r="45" customFormat="false" ht="24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</row>
    <row r="46" customFormat="false" ht="24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</row>
    <row r="47" customFormat="false" ht="24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</row>
    <row r="48" customFormat="false" ht="24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</row>
    <row r="49" customFormat="false" ht="24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B950"/>
    <pageSetUpPr fitToPage="false"/>
  </sheetPr>
  <dimension ref="A1:C2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3"/>
  </cols>
  <sheetData>
    <row r="1" customFormat="false" ht="7.5" hidden="false" customHeight="true" outlineLevel="0" collapsed="false">
      <c r="A1" s="1"/>
    </row>
    <row r="2" customFormat="false" ht="51.75" hidden="false" customHeight="true" outlineLevel="0" collapsed="false">
      <c r="A2" s="1"/>
      <c r="B2" s="43" t="s">
        <v>86</v>
      </c>
      <c r="C2" s="43"/>
    </row>
    <row r="3" customFormat="false" ht="3.75" hidden="false" customHeight="true" outlineLevel="0" collapsed="false">
      <c r="A3" s="1"/>
      <c r="B3" s="1"/>
      <c r="C3" s="1"/>
    </row>
    <row r="4" customFormat="false" ht="7.5" hidden="false" customHeight="true" outlineLevel="0" collapsed="false">
      <c r="A4" s="1"/>
      <c r="B4" s="1"/>
      <c r="C4" s="1"/>
    </row>
    <row r="5" customFormat="false" ht="31.5" hidden="false" customHeight="true" outlineLevel="0" collapsed="false">
      <c r="A5" s="44"/>
      <c r="B5" s="45" t="s">
        <v>22</v>
      </c>
      <c r="C5" s="45"/>
    </row>
    <row r="6" customFormat="false" ht="36" hidden="false" customHeight="true" outlineLevel="0" collapsed="false">
      <c r="A6" s="4"/>
      <c r="B6" s="46" t="s">
        <v>87</v>
      </c>
      <c r="C6" s="46"/>
    </row>
    <row r="7" customFormat="false" ht="7.5" hidden="false" customHeight="true" outlineLevel="0" collapsed="false">
      <c r="A7" s="1"/>
      <c r="B7" s="1"/>
      <c r="C7" s="1"/>
    </row>
    <row r="8" customFormat="false" ht="31.5" hidden="false" customHeight="true" outlineLevel="0" collapsed="false">
      <c r="A8" s="47"/>
      <c r="B8" s="48" t="s">
        <v>88</v>
      </c>
      <c r="C8" s="48"/>
    </row>
    <row r="9" customFormat="false" ht="36" hidden="false" customHeight="true" outlineLevel="0" collapsed="false">
      <c r="A9" s="4"/>
      <c r="B9" s="46" t="s">
        <v>89</v>
      </c>
      <c r="C9" s="46"/>
    </row>
    <row r="10" customFormat="false" ht="7.5" hidden="false" customHeight="true" outlineLevel="0" collapsed="false">
      <c r="A10" s="1"/>
      <c r="B10" s="1"/>
      <c r="C10" s="1"/>
    </row>
    <row r="11" customFormat="false" ht="31.5" hidden="false" customHeight="true" outlineLevel="0" collapsed="false">
      <c r="A11" s="49"/>
      <c r="B11" s="50" t="s">
        <v>30</v>
      </c>
      <c r="C11" s="50"/>
    </row>
    <row r="12" customFormat="false" ht="36" hidden="false" customHeight="true" outlineLevel="0" collapsed="false">
      <c r="A12" s="4"/>
      <c r="B12" s="46" t="s">
        <v>90</v>
      </c>
      <c r="C12" s="46"/>
    </row>
    <row r="13" customFormat="false" ht="7.5" hidden="false" customHeight="true" outlineLevel="0" collapsed="false">
      <c r="A13" s="1"/>
      <c r="B13" s="1"/>
      <c r="C13" s="1"/>
    </row>
    <row r="14" customFormat="false" ht="31.5" hidden="false" customHeight="true" outlineLevel="0" collapsed="false">
      <c r="A14" s="51"/>
      <c r="B14" s="52" t="s">
        <v>91</v>
      </c>
      <c r="C14" s="52"/>
    </row>
    <row r="15" customFormat="false" ht="36" hidden="false" customHeight="true" outlineLevel="0" collapsed="false">
      <c r="A15" s="4"/>
      <c r="B15" s="46" t="s">
        <v>92</v>
      </c>
      <c r="C15" s="46"/>
    </row>
    <row r="16" customFormat="false" ht="7.5" hidden="false" customHeight="true" outlineLevel="0" collapsed="false">
      <c r="A16" s="1"/>
      <c r="B16" s="1"/>
      <c r="C16" s="1"/>
    </row>
    <row r="17" customFormat="false" ht="31.5" hidden="false" customHeight="true" outlineLevel="0" collapsed="false">
      <c r="A17" s="51"/>
      <c r="B17" s="53" t="s">
        <v>93</v>
      </c>
      <c r="C17" s="53"/>
    </row>
    <row r="18" customFormat="false" ht="36" hidden="false" customHeight="true" outlineLevel="0" collapsed="false">
      <c r="A18" s="4"/>
      <c r="B18" s="46" t="s">
        <v>94</v>
      </c>
      <c r="C18" s="46"/>
    </row>
    <row r="20" customFormat="false" ht="7.5" hidden="false" customHeight="true" outlineLevel="0" collapsed="false">
      <c r="A20" s="1"/>
      <c r="B20" s="1"/>
      <c r="C20" s="1"/>
    </row>
    <row r="21" customFormat="false" ht="31.5" hidden="false" customHeight="true" outlineLevel="0" collapsed="false">
      <c r="A21" s="1"/>
      <c r="B21" s="54" t="s">
        <v>95</v>
      </c>
      <c r="C21" s="54"/>
    </row>
  </sheetData>
  <mergeCells count="12">
    <mergeCell ref="B2:C2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2026-05-14T22:44:35Z</dcterms:created>
  <dc:creator>openpyxl</dc:creator>
  <dc:description/>
  <dc:language>en-US</dc:language>
  <cp:lastModifiedBy/>
  <dcterms:modified xsi:type="dcterms:W3CDTF">2026-05-14T22:44:35Z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